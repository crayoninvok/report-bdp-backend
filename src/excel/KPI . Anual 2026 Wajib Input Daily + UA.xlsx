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My Drive\Management\"/>
    </mc:Choice>
  </mc:AlternateContent>
  <xr:revisionPtr revIDLastSave="0" documentId="13_ncr:1_{121BE142-9C6C-47DE-80DC-9F1972C4EB4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nput Data Daily" sheetId="1" r:id="rId1"/>
    <sheet name="Grafik KPI 2026" sheetId="2" r:id="rId2"/>
    <sheet name="Indikator KPI W30-W53" sheetId="5" r:id="rId3"/>
    <sheet name="Kalkulator UA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81" i="5" l="1"/>
  <c r="B15" i="6"/>
  <c r="B16" i="6" s="1"/>
  <c r="B17" i="6" s="1"/>
  <c r="B14" i="6"/>
  <c r="I23" i="5"/>
  <c r="AD84" i="5" s="1"/>
  <c r="B10" i="5"/>
  <c r="A10" i="5"/>
  <c r="B9" i="5"/>
  <c r="A9" i="5"/>
  <c r="B8" i="5"/>
  <c r="A8" i="5"/>
  <c r="B7" i="5"/>
  <c r="A7" i="5"/>
  <c r="B6" i="5"/>
  <c r="A6" i="5"/>
  <c r="B5" i="5"/>
  <c r="A5" i="5"/>
  <c r="AD108" i="2"/>
  <c r="Z108" i="2"/>
  <c r="V108" i="2"/>
  <c r="R108" i="2"/>
  <c r="AL107" i="2"/>
  <c r="AH107" i="2"/>
  <c r="AD107" i="2"/>
  <c r="V107" i="2"/>
  <c r="R107" i="2"/>
  <c r="AL106" i="2"/>
  <c r="AH106" i="2"/>
  <c r="AD106" i="2"/>
  <c r="Z106" i="2"/>
  <c r="V106" i="2"/>
  <c r="R106" i="2"/>
  <c r="C82" i="2"/>
  <c r="B82" i="2"/>
  <c r="C81" i="2"/>
  <c r="B81" i="2"/>
  <c r="C80" i="2"/>
  <c r="B80" i="2"/>
  <c r="AD79" i="2"/>
  <c r="V79" i="2"/>
  <c r="R79" i="2"/>
  <c r="C79" i="2"/>
  <c r="B79" i="2"/>
  <c r="C78" i="2"/>
  <c r="B78" i="2"/>
  <c r="AL77" i="2"/>
  <c r="AH77" i="2"/>
  <c r="AD77" i="2"/>
  <c r="V77" i="2"/>
  <c r="R77" i="2"/>
  <c r="C77" i="2"/>
  <c r="B77" i="2"/>
  <c r="AL76" i="2"/>
  <c r="AH76" i="2"/>
  <c r="AD76" i="2"/>
  <c r="V76" i="2"/>
  <c r="R76" i="2"/>
  <c r="C76" i="2"/>
  <c r="B76" i="2"/>
  <c r="AL75" i="2"/>
  <c r="AH75" i="2"/>
  <c r="AD75" i="2"/>
  <c r="V75" i="2"/>
  <c r="R75" i="2"/>
  <c r="C75" i="2"/>
  <c r="B75" i="2"/>
  <c r="AL74" i="2"/>
  <c r="AH74" i="2"/>
  <c r="AD74" i="2"/>
  <c r="V74" i="2"/>
  <c r="R74" i="2"/>
  <c r="C74" i="2"/>
  <c r="B74" i="2"/>
  <c r="AL73" i="2"/>
  <c r="AH73" i="2"/>
  <c r="AD73" i="2"/>
  <c r="V73" i="2"/>
  <c r="R73" i="2"/>
  <c r="C73" i="2"/>
  <c r="B73" i="2"/>
  <c r="AL72" i="2"/>
  <c r="AH72" i="2"/>
  <c r="AD72" i="2"/>
  <c r="V72" i="2"/>
  <c r="R72" i="2"/>
  <c r="C72" i="2"/>
  <c r="B72" i="2"/>
  <c r="AL71" i="2"/>
  <c r="AH71" i="2"/>
  <c r="AD71" i="2"/>
  <c r="V71" i="2"/>
  <c r="R71" i="2"/>
  <c r="C71" i="2"/>
  <c r="B71" i="2"/>
  <c r="M67" i="2"/>
  <c r="K67" i="2"/>
  <c r="I67" i="2"/>
  <c r="G67" i="2"/>
  <c r="E67" i="2"/>
  <c r="C67" i="2"/>
  <c r="A67" i="2"/>
  <c r="M66" i="2"/>
  <c r="K66" i="2"/>
  <c r="I66" i="2"/>
  <c r="G66" i="2"/>
  <c r="E66" i="2"/>
  <c r="C66" i="2"/>
  <c r="A66" i="2"/>
  <c r="M65" i="2"/>
  <c r="K65" i="2"/>
  <c r="I65" i="2"/>
  <c r="G65" i="2"/>
  <c r="E65" i="2"/>
  <c r="C65" i="2"/>
  <c r="M64" i="2"/>
  <c r="K64" i="2"/>
  <c r="I64" i="2"/>
  <c r="G64" i="2"/>
  <c r="E64" i="2"/>
  <c r="C64" i="2"/>
  <c r="M63" i="2"/>
  <c r="K63" i="2"/>
  <c r="I63" i="2"/>
  <c r="G63" i="2"/>
  <c r="E63" i="2"/>
  <c r="C63" i="2"/>
  <c r="M62" i="2"/>
  <c r="K62" i="2"/>
  <c r="I62" i="2"/>
  <c r="G62" i="2"/>
  <c r="E62" i="2"/>
  <c r="C62" i="2"/>
  <c r="M61" i="2"/>
  <c r="K61" i="2"/>
  <c r="I61" i="2"/>
  <c r="G61" i="2"/>
  <c r="E61" i="2"/>
  <c r="C61" i="2"/>
  <c r="M60" i="2"/>
  <c r="K60" i="2"/>
  <c r="I60" i="2"/>
  <c r="G60" i="2"/>
  <c r="E60" i="2"/>
  <c r="C60" i="2"/>
  <c r="M59" i="2"/>
  <c r="K59" i="2"/>
  <c r="I59" i="2"/>
  <c r="G59" i="2"/>
  <c r="E59" i="2"/>
  <c r="C59" i="2"/>
  <c r="M58" i="2"/>
  <c r="K58" i="2"/>
  <c r="I58" i="2"/>
  <c r="G58" i="2"/>
  <c r="E58" i="2"/>
  <c r="C58" i="2"/>
  <c r="M57" i="2"/>
  <c r="K57" i="2"/>
  <c r="I57" i="2"/>
  <c r="G57" i="2"/>
  <c r="E57" i="2"/>
  <c r="C57" i="2"/>
  <c r="M56" i="2"/>
  <c r="K56" i="2"/>
  <c r="I56" i="2"/>
  <c r="G56" i="2"/>
  <c r="E56" i="2"/>
  <c r="C56" i="2"/>
  <c r="M55" i="2"/>
  <c r="K55" i="2"/>
  <c r="I55" i="2"/>
  <c r="G55" i="2"/>
  <c r="E55" i="2"/>
  <c r="C55" i="2"/>
  <c r="M54" i="2"/>
  <c r="K54" i="2"/>
  <c r="I54" i="2"/>
  <c r="G54" i="2"/>
  <c r="E54" i="2"/>
  <c r="C54" i="2"/>
  <c r="M53" i="2"/>
  <c r="K53" i="2"/>
  <c r="I53" i="2"/>
  <c r="G53" i="2"/>
  <c r="E53" i="2"/>
  <c r="C53" i="2"/>
  <c r="M52" i="2"/>
  <c r="K52" i="2"/>
  <c r="I52" i="2"/>
  <c r="G52" i="2"/>
  <c r="G23" i="5" s="1"/>
  <c r="Z84" i="5" s="1"/>
  <c r="E52" i="2"/>
  <c r="E23" i="5" s="1"/>
  <c r="V84" i="5" s="1"/>
  <c r="C52" i="2"/>
  <c r="C23" i="5" s="1"/>
  <c r="R84" i="5" s="1"/>
  <c r="M51" i="2"/>
  <c r="M22" i="5" s="1"/>
  <c r="AL83" i="5" s="1"/>
  <c r="K51" i="2"/>
  <c r="K22" i="5" s="1"/>
  <c r="AH83" i="5" s="1"/>
  <c r="I51" i="2"/>
  <c r="I22" i="5" s="1"/>
  <c r="AD83" i="5" s="1"/>
  <c r="G51" i="2"/>
  <c r="E51" i="2"/>
  <c r="E22" i="5" s="1"/>
  <c r="V83" i="5" s="1"/>
  <c r="C51" i="2"/>
  <c r="C22" i="5" s="1"/>
  <c r="R83" i="5" s="1"/>
  <c r="M50" i="2"/>
  <c r="M21" i="5" s="1"/>
  <c r="AL82" i="5" s="1"/>
  <c r="K50" i="2"/>
  <c r="K21" i="5" s="1"/>
  <c r="AH82" i="5" s="1"/>
  <c r="I50" i="2"/>
  <c r="I21" i="5" s="1"/>
  <c r="AD82" i="5" s="1"/>
  <c r="G50" i="2"/>
  <c r="G21" i="5" s="1"/>
  <c r="Z82" i="5" s="1"/>
  <c r="E50" i="2"/>
  <c r="E21" i="5" s="1"/>
  <c r="V82" i="5" s="1"/>
  <c r="C50" i="2"/>
  <c r="C21" i="5" s="1"/>
  <c r="R82" i="5" s="1"/>
  <c r="M49" i="2"/>
  <c r="K49" i="2"/>
  <c r="I49" i="2"/>
  <c r="G49" i="2"/>
  <c r="E49" i="2"/>
  <c r="C49" i="2"/>
  <c r="M48" i="2"/>
  <c r="K48" i="2"/>
  <c r="I48" i="2"/>
  <c r="G48" i="2"/>
  <c r="E48" i="2"/>
  <c r="C48" i="2"/>
  <c r="M47" i="2"/>
  <c r="K47" i="2"/>
  <c r="I47" i="2"/>
  <c r="G47" i="2"/>
  <c r="E47" i="2"/>
  <c r="C47" i="2"/>
  <c r="M46" i="2"/>
  <c r="K46" i="2"/>
  <c r="I46" i="2"/>
  <c r="G46" i="2"/>
  <c r="E46" i="2"/>
  <c r="C46" i="2"/>
  <c r="M45" i="2"/>
  <c r="K45" i="2"/>
  <c r="I45" i="2"/>
  <c r="G45" i="2"/>
  <c r="E45" i="2"/>
  <c r="C45" i="2"/>
  <c r="M44" i="2"/>
  <c r="K44" i="2"/>
  <c r="I44" i="2"/>
  <c r="G44" i="2"/>
  <c r="E44" i="2"/>
  <c r="C44" i="2"/>
  <c r="M43" i="2"/>
  <c r="AL99" i="2" s="1"/>
  <c r="K43" i="2"/>
  <c r="AH99" i="2" s="1"/>
  <c r="I43" i="2"/>
  <c r="AD99" i="2" s="1"/>
  <c r="G43" i="2"/>
  <c r="Z99" i="2" s="1"/>
  <c r="E43" i="2"/>
  <c r="V99" i="2" s="1"/>
  <c r="C43" i="2"/>
  <c r="R99" i="2" s="1"/>
  <c r="M42" i="2"/>
  <c r="AL98" i="2" s="1"/>
  <c r="K42" i="2"/>
  <c r="AH98" i="2" s="1"/>
  <c r="I42" i="2"/>
  <c r="AD98" i="2" s="1"/>
  <c r="G42" i="2"/>
  <c r="Z98" i="2" s="1"/>
  <c r="E42" i="2"/>
  <c r="V98" i="2" s="1"/>
  <c r="C42" i="2"/>
  <c r="R98" i="2" s="1"/>
  <c r="M41" i="2"/>
  <c r="AL97" i="2" s="1"/>
  <c r="K41" i="2"/>
  <c r="AH97" i="2" s="1"/>
  <c r="I41" i="2"/>
  <c r="AD97" i="2" s="1"/>
  <c r="G41" i="2"/>
  <c r="Z97" i="2" s="1"/>
  <c r="E41" i="2"/>
  <c r="V97" i="2" s="1"/>
  <c r="C41" i="2"/>
  <c r="R97" i="2" s="1"/>
  <c r="M40" i="2"/>
  <c r="AL96" i="2" s="1"/>
  <c r="K40" i="2"/>
  <c r="AH96" i="2" s="1"/>
  <c r="I40" i="2"/>
  <c r="AD96" i="2" s="1"/>
  <c r="G40" i="2"/>
  <c r="Z96" i="2" s="1"/>
  <c r="E40" i="2"/>
  <c r="V96" i="2" s="1"/>
  <c r="C40" i="2"/>
  <c r="R96" i="2" s="1"/>
  <c r="M39" i="2"/>
  <c r="AL95" i="2" s="1"/>
  <c r="K39" i="2"/>
  <c r="AH95" i="2" s="1"/>
  <c r="I39" i="2"/>
  <c r="AD95" i="2" s="1"/>
  <c r="G39" i="2"/>
  <c r="Z95" i="2" s="1"/>
  <c r="E39" i="2"/>
  <c r="V95" i="2" s="1"/>
  <c r="C39" i="2"/>
  <c r="R95" i="2" s="1"/>
  <c r="M38" i="2"/>
  <c r="AL94" i="2" s="1"/>
  <c r="K38" i="2"/>
  <c r="AH94" i="2" s="1"/>
  <c r="I38" i="2"/>
  <c r="AD94" i="2" s="1"/>
  <c r="G38" i="2"/>
  <c r="Z94" i="2" s="1"/>
  <c r="E38" i="2"/>
  <c r="V94" i="2" s="1"/>
  <c r="C38" i="2"/>
  <c r="R94" i="2" s="1"/>
  <c r="M37" i="2"/>
  <c r="AL93" i="2" s="1"/>
  <c r="K37" i="2"/>
  <c r="AH93" i="2" s="1"/>
  <c r="I37" i="2"/>
  <c r="AD93" i="2" s="1"/>
  <c r="G37" i="2"/>
  <c r="Z93" i="2" s="1"/>
  <c r="E37" i="2"/>
  <c r="V93" i="2" s="1"/>
  <c r="C37" i="2"/>
  <c r="R93" i="2" s="1"/>
  <c r="M36" i="2"/>
  <c r="AL92" i="2" s="1"/>
  <c r="K36" i="2"/>
  <c r="AH92" i="2" s="1"/>
  <c r="I36" i="2"/>
  <c r="AD92" i="2" s="1"/>
  <c r="G36" i="2"/>
  <c r="Z92" i="2" s="1"/>
  <c r="E36" i="2"/>
  <c r="V92" i="2" s="1"/>
  <c r="C36" i="2"/>
  <c r="R92" i="2" s="1"/>
  <c r="M35" i="2"/>
  <c r="AL91" i="2" s="1"/>
  <c r="K35" i="2"/>
  <c r="AH91" i="2" s="1"/>
  <c r="I35" i="2"/>
  <c r="AD91" i="2" s="1"/>
  <c r="G35" i="2"/>
  <c r="Z91" i="2" s="1"/>
  <c r="E35" i="2"/>
  <c r="V91" i="2" s="1"/>
  <c r="C35" i="2"/>
  <c r="R91" i="2" s="1"/>
  <c r="M34" i="2"/>
  <c r="AL90" i="2" s="1"/>
  <c r="K34" i="2"/>
  <c r="AH90" i="2" s="1"/>
  <c r="I34" i="2"/>
  <c r="AD90" i="2" s="1"/>
  <c r="G34" i="2"/>
  <c r="Z90" i="2" s="1"/>
  <c r="E34" i="2"/>
  <c r="V90" i="2" s="1"/>
  <c r="C34" i="2"/>
  <c r="R90" i="2" s="1"/>
  <c r="M33" i="2"/>
  <c r="AL89" i="2" s="1"/>
  <c r="K33" i="2"/>
  <c r="AH89" i="2" s="1"/>
  <c r="I33" i="2"/>
  <c r="AD89" i="2" s="1"/>
  <c r="G33" i="2"/>
  <c r="Z89" i="2" s="1"/>
  <c r="E33" i="2"/>
  <c r="V89" i="2" s="1"/>
  <c r="C33" i="2"/>
  <c r="R89" i="2" s="1"/>
  <c r="M32" i="2"/>
  <c r="AL88" i="2" s="1"/>
  <c r="K32" i="2"/>
  <c r="AH88" i="2" s="1"/>
  <c r="I32" i="2"/>
  <c r="AD88" i="2" s="1"/>
  <c r="G32" i="2"/>
  <c r="Z88" i="2" s="1"/>
  <c r="E32" i="2"/>
  <c r="V88" i="2" s="1"/>
  <c r="C32" i="2"/>
  <c r="R88" i="2" s="1"/>
  <c r="M31" i="2"/>
  <c r="AL87" i="2" s="1"/>
  <c r="K31" i="2"/>
  <c r="AH87" i="2" s="1"/>
  <c r="I31" i="2"/>
  <c r="AD87" i="2" s="1"/>
  <c r="G31" i="2"/>
  <c r="Z87" i="2" s="1"/>
  <c r="E31" i="2"/>
  <c r="V87" i="2" s="1"/>
  <c r="C31" i="2"/>
  <c r="R87" i="2" s="1"/>
  <c r="M30" i="2"/>
  <c r="AL86" i="2" s="1"/>
  <c r="K30" i="2"/>
  <c r="AH86" i="2" s="1"/>
  <c r="I30" i="2"/>
  <c r="AD86" i="2" s="1"/>
  <c r="G30" i="2"/>
  <c r="Z86" i="2" s="1"/>
  <c r="E30" i="2"/>
  <c r="V86" i="2" s="1"/>
  <c r="C30" i="2"/>
  <c r="R86" i="2" s="1"/>
  <c r="M29" i="2"/>
  <c r="AL85" i="2" s="1"/>
  <c r="K29" i="2"/>
  <c r="AH85" i="2" s="1"/>
  <c r="I29" i="2"/>
  <c r="AD85" i="2" s="1"/>
  <c r="G29" i="2"/>
  <c r="Z85" i="2" s="1"/>
  <c r="E29" i="2"/>
  <c r="V85" i="2" s="1"/>
  <c r="C29" i="2"/>
  <c r="R85" i="2" s="1"/>
  <c r="M28" i="2"/>
  <c r="AL84" i="2" s="1"/>
  <c r="K28" i="2"/>
  <c r="AH84" i="2" s="1"/>
  <c r="I28" i="2"/>
  <c r="AD84" i="2" s="1"/>
  <c r="G28" i="2"/>
  <c r="Z84" i="2" s="1"/>
  <c r="E28" i="2"/>
  <c r="V84" i="2" s="1"/>
  <c r="C28" i="2"/>
  <c r="R84" i="2" s="1"/>
  <c r="M27" i="2"/>
  <c r="AL83" i="2" s="1"/>
  <c r="K27" i="2"/>
  <c r="AH83" i="2" s="1"/>
  <c r="I27" i="2"/>
  <c r="AD83" i="2" s="1"/>
  <c r="G27" i="2"/>
  <c r="Z83" i="2" s="1"/>
  <c r="E27" i="2"/>
  <c r="V83" i="2" s="1"/>
  <c r="C27" i="2"/>
  <c r="R83" i="2" s="1"/>
  <c r="M26" i="2"/>
  <c r="AL82" i="2" s="1"/>
  <c r="K26" i="2"/>
  <c r="AH82" i="2" s="1"/>
  <c r="I26" i="2"/>
  <c r="AD82" i="2" s="1"/>
  <c r="G26" i="2"/>
  <c r="Z82" i="2" s="1"/>
  <c r="E26" i="2"/>
  <c r="V82" i="2" s="1"/>
  <c r="C26" i="2"/>
  <c r="R82" i="2" s="1"/>
  <c r="A26" i="2"/>
  <c r="M25" i="2"/>
  <c r="AL81" i="2" s="1"/>
  <c r="K25" i="2"/>
  <c r="AH81" i="2" s="1"/>
  <c r="I25" i="2"/>
  <c r="AD81" i="2" s="1"/>
  <c r="G25" i="2"/>
  <c r="Z81" i="2" s="1"/>
  <c r="E25" i="2"/>
  <c r="V81" i="2" s="1"/>
  <c r="C25" i="2"/>
  <c r="R81" i="2" s="1"/>
  <c r="A25" i="2"/>
  <c r="M24" i="2"/>
  <c r="AL80" i="2" s="1"/>
  <c r="K24" i="2"/>
  <c r="AH80" i="2" s="1"/>
  <c r="I24" i="2"/>
  <c r="AD80" i="2" s="1"/>
  <c r="G24" i="2"/>
  <c r="Z80" i="2" s="1"/>
  <c r="E24" i="2"/>
  <c r="V80" i="2" s="1"/>
  <c r="C24" i="2"/>
  <c r="R80" i="2" s="1"/>
  <c r="A24" i="2"/>
  <c r="M23" i="2"/>
  <c r="AL79" i="2" s="1"/>
  <c r="K23" i="2"/>
  <c r="AH79" i="2" s="1"/>
  <c r="I23" i="2"/>
  <c r="G23" i="2"/>
  <c r="Z79" i="2" s="1"/>
  <c r="E23" i="2"/>
  <c r="C23" i="2"/>
  <c r="M22" i="2"/>
  <c r="AL78" i="2" s="1"/>
  <c r="K22" i="2"/>
  <c r="AH78" i="2" s="1"/>
  <c r="I22" i="2"/>
  <c r="AD78" i="2" s="1"/>
  <c r="G22" i="2"/>
  <c r="Z78" i="2" s="1"/>
  <c r="E22" i="2"/>
  <c r="V78" i="2" s="1"/>
  <c r="C22" i="2"/>
  <c r="R78" i="2" s="1"/>
  <c r="M21" i="2"/>
  <c r="K21" i="2"/>
  <c r="I21" i="2"/>
  <c r="G21" i="2"/>
  <c r="Z77" i="2" s="1"/>
  <c r="E21" i="2"/>
  <c r="C21" i="2"/>
  <c r="M20" i="2"/>
  <c r="K20" i="2"/>
  <c r="I20" i="2"/>
  <c r="G20" i="2"/>
  <c r="Z76" i="2" s="1"/>
  <c r="E20" i="2"/>
  <c r="C20" i="2"/>
  <c r="M19" i="2"/>
  <c r="K19" i="2"/>
  <c r="I19" i="2"/>
  <c r="G19" i="2"/>
  <c r="Z75" i="2" s="1"/>
  <c r="E19" i="2"/>
  <c r="C19" i="2"/>
  <c r="M18" i="2"/>
  <c r="K18" i="2"/>
  <c r="I18" i="2"/>
  <c r="G18" i="2"/>
  <c r="Z74" i="2" s="1"/>
  <c r="E18" i="2"/>
  <c r="C18" i="2"/>
  <c r="M17" i="2"/>
  <c r="K17" i="2"/>
  <c r="I17" i="2"/>
  <c r="G17" i="2"/>
  <c r="Z73" i="2" s="1"/>
  <c r="E17" i="2"/>
  <c r="C17" i="2"/>
  <c r="M16" i="2"/>
  <c r="K16" i="2"/>
  <c r="I16" i="2"/>
  <c r="G16" i="2"/>
  <c r="Z72" i="2" s="1"/>
  <c r="E16" i="2"/>
  <c r="C16" i="2"/>
  <c r="M15" i="2"/>
  <c r="K15" i="2"/>
  <c r="I15" i="2"/>
  <c r="G15" i="2"/>
  <c r="Z71" i="2" s="1"/>
  <c r="E15" i="2"/>
  <c r="C15" i="2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A65" i="2" s="1"/>
  <c r="K354" i="1"/>
  <c r="K353" i="1"/>
  <c r="K352" i="1"/>
  <c r="K351" i="1"/>
  <c r="K350" i="1"/>
  <c r="K349" i="1"/>
  <c r="K348" i="1"/>
  <c r="A64" i="2" s="1"/>
  <c r="K347" i="1"/>
  <c r="K346" i="1"/>
  <c r="K345" i="1"/>
  <c r="K344" i="1"/>
  <c r="K343" i="1"/>
  <c r="K342" i="1"/>
  <c r="K341" i="1"/>
  <c r="A63" i="2" s="1"/>
  <c r="K340" i="1"/>
  <c r="K339" i="1"/>
  <c r="K338" i="1"/>
  <c r="K337" i="1"/>
  <c r="K336" i="1"/>
  <c r="K335" i="1"/>
  <c r="K334" i="1"/>
  <c r="A62" i="2" s="1"/>
  <c r="K333" i="1"/>
  <c r="K332" i="1"/>
  <c r="K331" i="1"/>
  <c r="K330" i="1"/>
  <c r="K329" i="1"/>
  <c r="K328" i="1"/>
  <c r="K327" i="1"/>
  <c r="A61" i="2" s="1"/>
  <c r="K326" i="1"/>
  <c r="K325" i="1"/>
  <c r="K324" i="1"/>
  <c r="K323" i="1"/>
  <c r="K322" i="1"/>
  <c r="K321" i="1"/>
  <c r="K320" i="1"/>
  <c r="A60" i="2" s="1"/>
  <c r="K319" i="1"/>
  <c r="K318" i="1"/>
  <c r="K317" i="1"/>
  <c r="K316" i="1"/>
  <c r="K315" i="1"/>
  <c r="K314" i="1"/>
  <c r="K313" i="1"/>
  <c r="A59" i="2" s="1"/>
  <c r="K312" i="1"/>
  <c r="K311" i="1"/>
  <c r="K310" i="1"/>
  <c r="K309" i="1"/>
  <c r="K308" i="1"/>
  <c r="K307" i="1"/>
  <c r="K306" i="1"/>
  <c r="A58" i="2" s="1"/>
  <c r="K305" i="1"/>
  <c r="K304" i="1"/>
  <c r="K303" i="1"/>
  <c r="K302" i="1"/>
  <c r="K301" i="1"/>
  <c r="K300" i="1"/>
  <c r="K299" i="1"/>
  <c r="A57" i="2" s="1"/>
  <c r="K298" i="1"/>
  <c r="K297" i="1"/>
  <c r="K296" i="1"/>
  <c r="K295" i="1"/>
  <c r="K294" i="1"/>
  <c r="K293" i="1"/>
  <c r="K292" i="1"/>
  <c r="A56" i="2" s="1"/>
  <c r="K291" i="1"/>
  <c r="K290" i="1"/>
  <c r="K289" i="1"/>
  <c r="K288" i="1"/>
  <c r="K287" i="1"/>
  <c r="K286" i="1"/>
  <c r="K285" i="1"/>
  <c r="A55" i="2" s="1"/>
  <c r="K284" i="1"/>
  <c r="K283" i="1"/>
  <c r="K282" i="1"/>
  <c r="K281" i="1"/>
  <c r="K280" i="1"/>
  <c r="K279" i="1"/>
  <c r="K278" i="1"/>
  <c r="A54" i="2" s="1"/>
  <c r="K277" i="1"/>
  <c r="K276" i="1"/>
  <c r="K275" i="1"/>
  <c r="K274" i="1"/>
  <c r="K273" i="1"/>
  <c r="K272" i="1"/>
  <c r="K271" i="1"/>
  <c r="A53" i="2" s="1"/>
  <c r="K270" i="1"/>
  <c r="K269" i="1"/>
  <c r="K268" i="1"/>
  <c r="K267" i="1"/>
  <c r="K266" i="1"/>
  <c r="K265" i="1"/>
  <c r="K264" i="1"/>
  <c r="A52" i="2" s="1"/>
  <c r="K263" i="1"/>
  <c r="K262" i="1"/>
  <c r="K261" i="1"/>
  <c r="K260" i="1"/>
  <c r="K259" i="1"/>
  <c r="K258" i="1"/>
  <c r="K257" i="1"/>
  <c r="A51" i="2" s="1"/>
  <c r="K256" i="1"/>
  <c r="K255" i="1"/>
  <c r="K254" i="1"/>
  <c r="K253" i="1"/>
  <c r="K252" i="1"/>
  <c r="K251" i="1"/>
  <c r="K250" i="1"/>
  <c r="A50" i="2" s="1"/>
  <c r="K249" i="1"/>
  <c r="K248" i="1"/>
  <c r="K247" i="1"/>
  <c r="K246" i="1"/>
  <c r="K245" i="1"/>
  <c r="K244" i="1"/>
  <c r="K243" i="1"/>
  <c r="A49" i="2" s="1"/>
  <c r="K242" i="1"/>
  <c r="K241" i="1"/>
  <c r="K240" i="1"/>
  <c r="K239" i="1"/>
  <c r="K238" i="1"/>
  <c r="K237" i="1"/>
  <c r="K236" i="1"/>
  <c r="A48" i="2" s="1"/>
  <c r="K235" i="1"/>
  <c r="K234" i="1"/>
  <c r="K233" i="1"/>
  <c r="K232" i="1"/>
  <c r="K231" i="1"/>
  <c r="K230" i="1"/>
  <c r="K229" i="1"/>
  <c r="A47" i="2" s="1"/>
  <c r="K228" i="1"/>
  <c r="K227" i="1"/>
  <c r="K226" i="1"/>
  <c r="K225" i="1"/>
  <c r="K224" i="1"/>
  <c r="K223" i="1"/>
  <c r="K222" i="1"/>
  <c r="A46" i="2" s="1"/>
  <c r="K221" i="1"/>
  <c r="K220" i="1"/>
  <c r="K219" i="1"/>
  <c r="K218" i="1"/>
  <c r="K217" i="1"/>
  <c r="K216" i="1"/>
  <c r="K215" i="1"/>
  <c r="A45" i="2" s="1"/>
  <c r="K214" i="1"/>
  <c r="K213" i="1"/>
  <c r="K212" i="1"/>
  <c r="K211" i="1"/>
  <c r="K210" i="1"/>
  <c r="K209" i="1"/>
  <c r="K208" i="1"/>
  <c r="A44" i="2" s="1"/>
  <c r="K207" i="1"/>
  <c r="K206" i="1"/>
  <c r="K205" i="1"/>
  <c r="K204" i="1"/>
  <c r="K203" i="1"/>
  <c r="K202" i="1"/>
  <c r="K201" i="1"/>
  <c r="A43" i="2" s="1"/>
  <c r="K200" i="1"/>
  <c r="K199" i="1"/>
  <c r="K198" i="1"/>
  <c r="K197" i="1"/>
  <c r="K196" i="1"/>
  <c r="K195" i="1"/>
  <c r="K194" i="1"/>
  <c r="A42" i="2" s="1"/>
  <c r="K193" i="1"/>
  <c r="K192" i="1"/>
  <c r="K191" i="1"/>
  <c r="K190" i="1"/>
  <c r="K189" i="1"/>
  <c r="K188" i="1"/>
  <c r="K187" i="1"/>
  <c r="A41" i="2" s="1"/>
  <c r="K186" i="1"/>
  <c r="K185" i="1"/>
  <c r="K184" i="1"/>
  <c r="K183" i="1"/>
  <c r="K182" i="1"/>
  <c r="K181" i="1"/>
  <c r="K180" i="1"/>
  <c r="A40" i="2" s="1"/>
  <c r="K179" i="1"/>
  <c r="K178" i="1"/>
  <c r="K177" i="1"/>
  <c r="K176" i="1"/>
  <c r="K175" i="1"/>
  <c r="K174" i="1"/>
  <c r="K173" i="1"/>
  <c r="A39" i="2" s="1"/>
  <c r="K172" i="1"/>
  <c r="K171" i="1"/>
  <c r="K170" i="1"/>
  <c r="K169" i="1"/>
  <c r="K168" i="1"/>
  <c r="K167" i="1"/>
  <c r="K166" i="1"/>
  <c r="A38" i="2" s="1"/>
  <c r="K165" i="1"/>
  <c r="K164" i="1"/>
  <c r="K163" i="1"/>
  <c r="K162" i="1"/>
  <c r="K161" i="1"/>
  <c r="K160" i="1"/>
  <c r="K159" i="1"/>
  <c r="A37" i="2" s="1"/>
  <c r="K158" i="1"/>
  <c r="K157" i="1"/>
  <c r="K156" i="1"/>
  <c r="K155" i="1"/>
  <c r="K154" i="1"/>
  <c r="K153" i="1"/>
  <c r="K152" i="1"/>
  <c r="A36" i="2" s="1"/>
  <c r="K151" i="1"/>
  <c r="K150" i="1"/>
  <c r="K149" i="1"/>
  <c r="K148" i="1"/>
  <c r="K147" i="1"/>
  <c r="K146" i="1"/>
  <c r="K145" i="1"/>
  <c r="A35" i="2" s="1"/>
  <c r="K144" i="1"/>
  <c r="K143" i="1"/>
  <c r="K142" i="1"/>
  <c r="K141" i="1"/>
  <c r="K140" i="1"/>
  <c r="K139" i="1"/>
  <c r="K138" i="1"/>
  <c r="A34" i="2" s="1"/>
  <c r="K137" i="1"/>
  <c r="K136" i="1"/>
  <c r="K135" i="1"/>
  <c r="K134" i="1"/>
  <c r="K133" i="1"/>
  <c r="K132" i="1"/>
  <c r="K131" i="1"/>
  <c r="A33" i="2" s="1"/>
  <c r="K130" i="1"/>
  <c r="K129" i="1"/>
  <c r="K128" i="1"/>
  <c r="K127" i="1"/>
  <c r="K126" i="1"/>
  <c r="K125" i="1"/>
  <c r="K124" i="1"/>
  <c r="A32" i="2" s="1"/>
  <c r="K123" i="1"/>
  <c r="K122" i="1"/>
  <c r="K121" i="1"/>
  <c r="K120" i="1"/>
  <c r="K119" i="1"/>
  <c r="K118" i="1"/>
  <c r="K117" i="1"/>
  <c r="A31" i="2" s="1"/>
  <c r="K116" i="1"/>
  <c r="K115" i="1"/>
  <c r="K114" i="1"/>
  <c r="K113" i="1"/>
  <c r="K112" i="1"/>
  <c r="K111" i="1"/>
  <c r="K110" i="1"/>
  <c r="A30" i="2" s="1"/>
  <c r="K109" i="1"/>
  <c r="K108" i="1"/>
  <c r="K107" i="1"/>
  <c r="K106" i="1"/>
  <c r="K105" i="1"/>
  <c r="K104" i="1"/>
  <c r="K103" i="1"/>
  <c r="A29" i="2" s="1"/>
  <c r="K102" i="1"/>
  <c r="K101" i="1"/>
  <c r="K100" i="1"/>
  <c r="K99" i="1"/>
  <c r="K98" i="1"/>
  <c r="K97" i="1"/>
  <c r="K96" i="1"/>
  <c r="A28" i="2" s="1"/>
  <c r="K95" i="1"/>
  <c r="K94" i="1"/>
  <c r="K93" i="1"/>
  <c r="K92" i="1"/>
  <c r="K91" i="1"/>
  <c r="K90" i="1"/>
  <c r="K89" i="1"/>
  <c r="A27" i="2" s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A23" i="2" s="1"/>
  <c r="K60" i="1"/>
  <c r="K59" i="1"/>
  <c r="K58" i="1"/>
  <c r="K57" i="1"/>
  <c r="K56" i="1"/>
  <c r="K55" i="1"/>
  <c r="K54" i="1"/>
  <c r="A22" i="2" s="1"/>
  <c r="K53" i="1"/>
  <c r="K52" i="1"/>
  <c r="K51" i="1"/>
  <c r="K50" i="1"/>
  <c r="K49" i="1"/>
  <c r="K48" i="1"/>
  <c r="K47" i="1"/>
  <c r="A21" i="2" s="1"/>
  <c r="K46" i="1"/>
  <c r="K45" i="1"/>
  <c r="K44" i="1"/>
  <c r="K43" i="1"/>
  <c r="K42" i="1"/>
  <c r="K41" i="1"/>
  <c r="K40" i="1"/>
  <c r="A20" i="2" s="1"/>
  <c r="K39" i="1"/>
  <c r="K38" i="1"/>
  <c r="K37" i="1"/>
  <c r="K36" i="1"/>
  <c r="K35" i="1"/>
  <c r="K34" i="1"/>
  <c r="K33" i="1"/>
  <c r="A19" i="2" s="1"/>
  <c r="K32" i="1"/>
  <c r="K31" i="1"/>
  <c r="K30" i="1"/>
  <c r="K29" i="1"/>
  <c r="K28" i="1"/>
  <c r="K27" i="1"/>
  <c r="K26" i="1"/>
  <c r="A18" i="2" s="1"/>
  <c r="K25" i="1"/>
  <c r="K24" i="1"/>
  <c r="K23" i="1"/>
  <c r="K22" i="1"/>
  <c r="K21" i="1"/>
  <c r="K20" i="1"/>
  <c r="K19" i="1"/>
  <c r="A17" i="2" s="1"/>
  <c r="K18" i="1"/>
  <c r="M17" i="1"/>
  <c r="K17" i="1"/>
  <c r="K16" i="1"/>
  <c r="M15" i="1"/>
  <c r="K15" i="1"/>
  <c r="K14" i="1"/>
  <c r="M13" i="1"/>
  <c r="K13" i="1"/>
  <c r="K12" i="1"/>
  <c r="A16" i="2" s="1"/>
  <c r="M11" i="1"/>
  <c r="K11" i="1"/>
  <c r="K10" i="1"/>
  <c r="K9" i="1"/>
  <c r="K8" i="1"/>
  <c r="K7" i="1"/>
  <c r="K6" i="1"/>
  <c r="K5" i="1"/>
  <c r="A15" i="2" s="1"/>
  <c r="G22" i="5" l="1"/>
  <c r="Z83" i="5" s="1"/>
  <c r="Z107" i="2"/>
  <c r="B18" i="6"/>
  <c r="B19" i="6" s="1"/>
  <c r="AL123" i="2"/>
  <c r="M38" i="5"/>
  <c r="AL99" i="5" s="1"/>
  <c r="AH123" i="2"/>
  <c r="K38" i="5"/>
  <c r="AH99" i="5" s="1"/>
  <c r="AD123" i="2"/>
  <c r="I38" i="5"/>
  <c r="AD99" i="5" s="1"/>
  <c r="Z123" i="2"/>
  <c r="G38" i="5"/>
  <c r="Z99" i="5" s="1"/>
  <c r="V123" i="2"/>
  <c r="E38" i="5"/>
  <c r="V99" i="5" s="1"/>
  <c r="C38" i="5"/>
  <c r="R99" i="5" s="1"/>
  <c r="R123" i="2"/>
  <c r="H67" i="2"/>
  <c r="X123" i="2"/>
  <c r="L67" i="2"/>
  <c r="N67" i="2"/>
  <c r="N38" i="5" s="1"/>
  <c r="B66" i="5" s="1"/>
  <c r="J67" i="2"/>
  <c r="P123" i="2"/>
  <c r="T123" i="2"/>
  <c r="AJ123" i="2"/>
  <c r="AF123" i="2"/>
  <c r="AB123" i="2"/>
  <c r="B67" i="2"/>
  <c r="D67" i="2"/>
  <c r="F67" i="2"/>
  <c r="A38" i="5"/>
  <c r="AL122" i="2"/>
  <c r="M37" i="5"/>
  <c r="AL98" i="5" s="1"/>
  <c r="AH122" i="2"/>
  <c r="K37" i="5"/>
  <c r="AH98" i="5" s="1"/>
  <c r="AD122" i="2"/>
  <c r="I37" i="5"/>
  <c r="AD98" i="5" s="1"/>
  <c r="G37" i="5"/>
  <c r="Z98" i="5" s="1"/>
  <c r="Z122" i="2"/>
  <c r="V122" i="2"/>
  <c r="E37" i="5"/>
  <c r="V98" i="5" s="1"/>
  <c r="R122" i="2"/>
  <c r="C37" i="5"/>
  <c r="R98" i="5" s="1"/>
  <c r="N66" i="2"/>
  <c r="N37" i="5" s="1"/>
  <c r="B65" i="5" s="1"/>
  <c r="F66" i="2"/>
  <c r="B66" i="2"/>
  <c r="D66" i="2"/>
  <c r="AF122" i="2"/>
  <c r="X122" i="2"/>
  <c r="T122" i="2"/>
  <c r="P122" i="2"/>
  <c r="AJ122" i="2"/>
  <c r="A37" i="5"/>
  <c r="AB122" i="2"/>
  <c r="H66" i="2"/>
  <c r="J66" i="2"/>
  <c r="L66" i="2"/>
  <c r="M36" i="5"/>
  <c r="AL97" i="5" s="1"/>
  <c r="AL121" i="2"/>
  <c r="AH121" i="2"/>
  <c r="K36" i="5"/>
  <c r="AH97" i="5" s="1"/>
  <c r="AD121" i="2"/>
  <c r="I36" i="5"/>
  <c r="AD97" i="5" s="1"/>
  <c r="Z121" i="2"/>
  <c r="G36" i="5"/>
  <c r="Z97" i="5" s="1"/>
  <c r="E36" i="5"/>
  <c r="V97" i="5" s="1"/>
  <c r="V121" i="2"/>
  <c r="R121" i="2"/>
  <c r="C36" i="5"/>
  <c r="R97" i="5" s="1"/>
  <c r="M35" i="5"/>
  <c r="AL96" i="5" s="1"/>
  <c r="AL120" i="2"/>
  <c r="K35" i="5"/>
  <c r="AH96" i="5" s="1"/>
  <c r="AH120" i="2"/>
  <c r="I35" i="5"/>
  <c r="AD96" i="5" s="1"/>
  <c r="AD120" i="2"/>
  <c r="Z120" i="2"/>
  <c r="G35" i="5"/>
  <c r="Z96" i="5" s="1"/>
  <c r="V120" i="2"/>
  <c r="E35" i="5"/>
  <c r="V96" i="5" s="1"/>
  <c r="C35" i="5"/>
  <c r="R96" i="5" s="1"/>
  <c r="R120" i="2"/>
  <c r="AL119" i="2"/>
  <c r="M34" i="5"/>
  <c r="AL95" i="5" s="1"/>
  <c r="K34" i="5"/>
  <c r="AH95" i="5" s="1"/>
  <c r="AH119" i="2"/>
  <c r="I34" i="5"/>
  <c r="AD95" i="5" s="1"/>
  <c r="AD119" i="2"/>
  <c r="G34" i="5"/>
  <c r="Z95" i="5" s="1"/>
  <c r="Z119" i="2"/>
  <c r="V119" i="2"/>
  <c r="E34" i="5"/>
  <c r="V95" i="5" s="1"/>
  <c r="R119" i="2"/>
  <c r="C34" i="5"/>
  <c r="R95" i="5" s="1"/>
  <c r="AL118" i="2"/>
  <c r="M33" i="5"/>
  <c r="AL94" i="5" s="1"/>
  <c r="AH118" i="2"/>
  <c r="K33" i="5"/>
  <c r="AH94" i="5" s="1"/>
  <c r="AD118" i="2"/>
  <c r="I33" i="5"/>
  <c r="AD94" i="5" s="1"/>
  <c r="Z118" i="2"/>
  <c r="G33" i="5"/>
  <c r="Z94" i="5" s="1"/>
  <c r="V118" i="2"/>
  <c r="E33" i="5"/>
  <c r="V94" i="5" s="1"/>
  <c r="C33" i="5"/>
  <c r="R94" i="5" s="1"/>
  <c r="R118" i="2"/>
  <c r="M32" i="5"/>
  <c r="AL93" i="5" s="1"/>
  <c r="AL117" i="2"/>
  <c r="K32" i="5"/>
  <c r="AH93" i="5" s="1"/>
  <c r="AH117" i="2"/>
  <c r="I32" i="5"/>
  <c r="AD93" i="5" s="1"/>
  <c r="AD117" i="2"/>
  <c r="G32" i="5"/>
  <c r="Z93" i="5" s="1"/>
  <c r="Z117" i="2"/>
  <c r="E32" i="5"/>
  <c r="V93" i="5" s="1"/>
  <c r="V117" i="2"/>
  <c r="R117" i="2"/>
  <c r="C32" i="5"/>
  <c r="R93" i="5" s="1"/>
  <c r="M31" i="5"/>
  <c r="AL92" i="5" s="1"/>
  <c r="AL116" i="2"/>
  <c r="AH116" i="2"/>
  <c r="K31" i="5"/>
  <c r="AH92" i="5" s="1"/>
  <c r="I31" i="5"/>
  <c r="AD92" i="5" s="1"/>
  <c r="AD116" i="2"/>
  <c r="G31" i="5"/>
  <c r="Z92" i="5" s="1"/>
  <c r="Z116" i="2"/>
  <c r="E31" i="5"/>
  <c r="V92" i="5" s="1"/>
  <c r="V116" i="2"/>
  <c r="R116" i="2"/>
  <c r="C31" i="5"/>
  <c r="R92" i="5" s="1"/>
  <c r="AL115" i="2"/>
  <c r="M30" i="5"/>
  <c r="AL91" i="5" s="1"/>
  <c r="K30" i="5"/>
  <c r="AH91" i="5" s="1"/>
  <c r="AH115" i="2"/>
  <c r="I30" i="5"/>
  <c r="AD91" i="5" s="1"/>
  <c r="AD115" i="2"/>
  <c r="G30" i="5"/>
  <c r="Z91" i="5" s="1"/>
  <c r="Z115" i="2"/>
  <c r="V115" i="2"/>
  <c r="E30" i="5"/>
  <c r="V91" i="5" s="1"/>
  <c r="C30" i="5"/>
  <c r="R91" i="5" s="1"/>
  <c r="R115" i="2"/>
  <c r="AL114" i="2"/>
  <c r="M29" i="5"/>
  <c r="AL90" i="5" s="1"/>
  <c r="K29" i="5"/>
  <c r="AH90" i="5" s="1"/>
  <c r="AH114" i="2"/>
  <c r="I29" i="5"/>
  <c r="AD90" i="5" s="1"/>
  <c r="AD114" i="2"/>
  <c r="Z114" i="2"/>
  <c r="G29" i="5"/>
  <c r="Z90" i="5" s="1"/>
  <c r="V114" i="2"/>
  <c r="E29" i="5"/>
  <c r="V90" i="5" s="1"/>
  <c r="R114" i="2"/>
  <c r="C29" i="5"/>
  <c r="R90" i="5" s="1"/>
  <c r="AL113" i="2"/>
  <c r="M28" i="5"/>
  <c r="AL89" i="5" s="1"/>
  <c r="AH113" i="2"/>
  <c r="K28" i="5"/>
  <c r="AH89" i="5" s="1"/>
  <c r="I28" i="5"/>
  <c r="AD89" i="5" s="1"/>
  <c r="AD113" i="2"/>
  <c r="G28" i="5"/>
  <c r="Z89" i="5" s="1"/>
  <c r="Z113" i="2"/>
  <c r="V113" i="2"/>
  <c r="E28" i="5"/>
  <c r="V89" i="5" s="1"/>
  <c r="R113" i="2"/>
  <c r="C28" i="5"/>
  <c r="R89" i="5" s="1"/>
  <c r="AL112" i="2"/>
  <c r="M27" i="5"/>
  <c r="AL88" i="5" s="1"/>
  <c r="K27" i="5"/>
  <c r="AH88" i="5" s="1"/>
  <c r="AH112" i="2"/>
  <c r="AD112" i="2"/>
  <c r="I27" i="5"/>
  <c r="AD88" i="5" s="1"/>
  <c r="G27" i="5"/>
  <c r="Z88" i="5" s="1"/>
  <c r="Z112" i="2"/>
  <c r="V112" i="2"/>
  <c r="E27" i="5"/>
  <c r="V88" i="5" s="1"/>
  <c r="R112" i="2"/>
  <c r="C27" i="5"/>
  <c r="R88" i="5" s="1"/>
  <c r="AL111" i="2"/>
  <c r="M26" i="5"/>
  <c r="AL87" i="5" s="1"/>
  <c r="K26" i="5"/>
  <c r="AH87" i="5" s="1"/>
  <c r="AH111" i="2"/>
  <c r="I26" i="5"/>
  <c r="AD87" i="5" s="1"/>
  <c r="AD111" i="2"/>
  <c r="G26" i="5"/>
  <c r="Z87" i="5" s="1"/>
  <c r="Z111" i="2"/>
  <c r="E26" i="5"/>
  <c r="V87" i="5" s="1"/>
  <c r="V111" i="2"/>
  <c r="C26" i="5"/>
  <c r="R87" i="5" s="1"/>
  <c r="R111" i="2"/>
  <c r="M25" i="5"/>
  <c r="AL86" i="5" s="1"/>
  <c r="AL110" i="2"/>
  <c r="K25" i="5"/>
  <c r="AH86" i="5" s="1"/>
  <c r="AH110" i="2"/>
  <c r="I25" i="5"/>
  <c r="AD86" i="5" s="1"/>
  <c r="AD110" i="2"/>
  <c r="G25" i="5"/>
  <c r="Z86" i="5" s="1"/>
  <c r="Z110" i="2"/>
  <c r="E25" i="5"/>
  <c r="V86" i="5" s="1"/>
  <c r="V110" i="2"/>
  <c r="C25" i="5"/>
  <c r="R86" i="5" s="1"/>
  <c r="R110" i="2"/>
  <c r="M24" i="5"/>
  <c r="AL85" i="5" s="1"/>
  <c r="AL109" i="2"/>
  <c r="AH109" i="2"/>
  <c r="K24" i="5"/>
  <c r="AH85" i="5" s="1"/>
  <c r="I24" i="5"/>
  <c r="AD85" i="5" s="1"/>
  <c r="AD109" i="2"/>
  <c r="Z109" i="2"/>
  <c r="G24" i="5"/>
  <c r="Z85" i="5" s="1"/>
  <c r="E24" i="5"/>
  <c r="V85" i="5" s="1"/>
  <c r="V109" i="2"/>
  <c r="R109" i="2"/>
  <c r="C24" i="5"/>
  <c r="R85" i="5" s="1"/>
  <c r="AL108" i="2"/>
  <c r="M23" i="5"/>
  <c r="AL84" i="5" s="1"/>
  <c r="K23" i="5"/>
  <c r="AH84" i="5" s="1"/>
  <c r="AH108" i="2"/>
  <c r="M20" i="5"/>
  <c r="AL81" i="5" s="1"/>
  <c r="AL105" i="2"/>
  <c r="K20" i="5"/>
  <c r="AH81" i="5" s="1"/>
  <c r="AH105" i="2"/>
  <c r="AD105" i="2"/>
  <c r="I20" i="5"/>
  <c r="AD81" i="5" s="1"/>
  <c r="G20" i="5"/>
  <c r="Z81" i="5" s="1"/>
  <c r="Z105" i="2"/>
  <c r="E20" i="5"/>
  <c r="V81" i="5" s="1"/>
  <c r="V105" i="2"/>
  <c r="R105" i="2"/>
  <c r="C20" i="5"/>
  <c r="R81" i="5" s="1"/>
  <c r="M19" i="5"/>
  <c r="AL80" i="5" s="1"/>
  <c r="AL104" i="2"/>
  <c r="K19" i="5"/>
  <c r="AH80" i="5" s="1"/>
  <c r="AH104" i="2"/>
  <c r="I19" i="5"/>
  <c r="AD80" i="5" s="1"/>
  <c r="AD104" i="2"/>
  <c r="G19" i="5"/>
  <c r="Z80" i="5" s="1"/>
  <c r="Z104" i="2"/>
  <c r="E19" i="5"/>
  <c r="V80" i="5" s="1"/>
  <c r="V104" i="2"/>
  <c r="R104" i="2"/>
  <c r="C19" i="5"/>
  <c r="R80" i="5" s="1"/>
  <c r="AL103" i="2"/>
  <c r="M18" i="5"/>
  <c r="AL79" i="5" s="1"/>
  <c r="K18" i="5"/>
  <c r="AH79" i="5" s="1"/>
  <c r="AH103" i="2"/>
  <c r="I18" i="5"/>
  <c r="AD79" i="5" s="1"/>
  <c r="AD103" i="2"/>
  <c r="Z103" i="2"/>
  <c r="G18" i="5"/>
  <c r="Z79" i="5" s="1"/>
  <c r="V103" i="2"/>
  <c r="E18" i="5"/>
  <c r="V79" i="5" s="1"/>
  <c r="C18" i="5"/>
  <c r="R79" i="5" s="1"/>
  <c r="R103" i="2"/>
  <c r="AL102" i="2"/>
  <c r="M17" i="5"/>
  <c r="AL78" i="5" s="1"/>
  <c r="AH102" i="2"/>
  <c r="K17" i="5"/>
  <c r="AH78" i="5" s="1"/>
  <c r="AD102" i="2"/>
  <c r="I17" i="5"/>
  <c r="AD78" i="5" s="1"/>
  <c r="Z102" i="2"/>
  <c r="G17" i="5"/>
  <c r="Z78" i="5" s="1"/>
  <c r="V102" i="2"/>
  <c r="E17" i="5"/>
  <c r="V78" i="5" s="1"/>
  <c r="R102" i="2"/>
  <c r="C17" i="5"/>
  <c r="R78" i="5" s="1"/>
  <c r="M16" i="5"/>
  <c r="AL77" i="5" s="1"/>
  <c r="AL101" i="2"/>
  <c r="K16" i="5"/>
  <c r="AH77" i="5" s="1"/>
  <c r="AH101" i="2"/>
  <c r="I16" i="5"/>
  <c r="AD77" i="5" s="1"/>
  <c r="AD101" i="2"/>
  <c r="Z101" i="2"/>
  <c r="G16" i="5"/>
  <c r="Z77" i="5" s="1"/>
  <c r="V101" i="2"/>
  <c r="E16" i="5"/>
  <c r="V77" i="5" s="1"/>
  <c r="R101" i="2"/>
  <c r="C16" i="5"/>
  <c r="R77" i="5" s="1"/>
  <c r="M15" i="5"/>
  <c r="AL76" i="5" s="1"/>
  <c r="AL100" i="2"/>
  <c r="AH100" i="2"/>
  <c r="K15" i="5"/>
  <c r="AH76" i="5" s="1"/>
  <c r="I15" i="5"/>
  <c r="AD76" i="5" s="1"/>
  <c r="AD100" i="2"/>
  <c r="G15" i="5"/>
  <c r="Z76" i="5" s="1"/>
  <c r="Z100" i="2"/>
  <c r="E15" i="5"/>
  <c r="V76" i="5" s="1"/>
  <c r="V100" i="2"/>
  <c r="C15" i="5"/>
  <c r="R76" i="5" s="1"/>
  <c r="R100" i="2"/>
  <c r="X82" i="2"/>
  <c r="AB82" i="2"/>
  <c r="AJ82" i="2"/>
  <c r="D26" i="2"/>
  <c r="U82" i="2" s="1"/>
  <c r="L26" i="2"/>
  <c r="AK82" i="2" s="1"/>
  <c r="T82" i="2"/>
  <c r="P82" i="2"/>
  <c r="AF82" i="2"/>
  <c r="N26" i="2"/>
  <c r="B26" i="2"/>
  <c r="Q82" i="2" s="1"/>
  <c r="F26" i="2"/>
  <c r="Y82" i="2" s="1"/>
  <c r="H26" i="2"/>
  <c r="AC82" i="2" s="1"/>
  <c r="J26" i="2"/>
  <c r="AG82" i="2" s="1"/>
  <c r="F25" i="2"/>
  <c r="Y81" i="2" s="1"/>
  <c r="H25" i="2"/>
  <c r="AC81" i="2" s="1"/>
  <c r="J25" i="2"/>
  <c r="AG81" i="2" s="1"/>
  <c r="L25" i="2"/>
  <c r="AK81" i="2" s="1"/>
  <c r="N25" i="2"/>
  <c r="AB81" i="2"/>
  <c r="AF81" i="2"/>
  <c r="AJ81" i="2"/>
  <c r="T81" i="2"/>
  <c r="P81" i="2"/>
  <c r="D25" i="2"/>
  <c r="U81" i="2" s="1"/>
  <c r="B25" i="2"/>
  <c r="Q81" i="2" s="1"/>
  <c r="X81" i="2"/>
  <c r="P80" i="2"/>
  <c r="D24" i="2"/>
  <c r="U80" i="2" s="1"/>
  <c r="T80" i="2"/>
  <c r="AF80" i="2"/>
  <c r="N24" i="2"/>
  <c r="L24" i="2"/>
  <c r="AK80" i="2" s="1"/>
  <c r="J24" i="2"/>
  <c r="AG80" i="2" s="1"/>
  <c r="AJ80" i="2"/>
  <c r="H24" i="2"/>
  <c r="AC80" i="2" s="1"/>
  <c r="F24" i="2"/>
  <c r="Y80" i="2" s="1"/>
  <c r="B24" i="2"/>
  <c r="Q80" i="2" s="1"/>
  <c r="AB80" i="2"/>
  <c r="X80" i="2"/>
  <c r="B65" i="2"/>
  <c r="D65" i="2"/>
  <c r="F65" i="2"/>
  <c r="H65" i="2"/>
  <c r="J65" i="2"/>
  <c r="L65" i="2"/>
  <c r="N65" i="2"/>
  <c r="N36" i="5" s="1"/>
  <c r="B64" i="5" s="1"/>
  <c r="AJ121" i="2"/>
  <c r="A36" i="5"/>
  <c r="P121" i="2"/>
  <c r="T121" i="2"/>
  <c r="AF121" i="2"/>
  <c r="X121" i="2"/>
  <c r="AB121" i="2"/>
  <c r="D64" i="2"/>
  <c r="F64" i="2"/>
  <c r="H64" i="2"/>
  <c r="X120" i="2"/>
  <c r="AB120" i="2"/>
  <c r="A35" i="5"/>
  <c r="P120" i="2"/>
  <c r="T120" i="2"/>
  <c r="AJ120" i="2"/>
  <c r="B64" i="2"/>
  <c r="J64" i="2"/>
  <c r="L64" i="2"/>
  <c r="N64" i="2"/>
  <c r="N35" i="5" s="1"/>
  <c r="B63" i="5" s="1"/>
  <c r="AF120" i="2"/>
  <c r="D63" i="2"/>
  <c r="F63" i="2"/>
  <c r="J63" i="2"/>
  <c r="L63" i="2"/>
  <c r="N63" i="2"/>
  <c r="N34" i="5" s="1"/>
  <c r="B62" i="5" s="1"/>
  <c r="AF119" i="2"/>
  <c r="B63" i="2"/>
  <c r="H63" i="2"/>
  <c r="P119" i="2"/>
  <c r="T119" i="2"/>
  <c r="AB119" i="2"/>
  <c r="X119" i="2"/>
  <c r="AJ119" i="2"/>
  <c r="A34" i="5"/>
  <c r="B62" i="2"/>
  <c r="D62" i="2"/>
  <c r="F62" i="2"/>
  <c r="H62" i="2"/>
  <c r="J62" i="2"/>
  <c r="L62" i="2"/>
  <c r="N62" i="2"/>
  <c r="N33" i="5" s="1"/>
  <c r="B61" i="5" s="1"/>
  <c r="AB118" i="2"/>
  <c r="AJ118" i="2"/>
  <c r="AF118" i="2"/>
  <c r="A33" i="5"/>
  <c r="P118" i="2"/>
  <c r="T118" i="2"/>
  <c r="X118" i="2"/>
  <c r="D61" i="2"/>
  <c r="H61" i="2"/>
  <c r="J61" i="2"/>
  <c r="L61" i="2"/>
  <c r="N61" i="2"/>
  <c r="N32" i="5" s="1"/>
  <c r="B60" i="5" s="1"/>
  <c r="P117" i="2"/>
  <c r="AF117" i="2"/>
  <c r="A32" i="5"/>
  <c r="T117" i="2"/>
  <c r="X117" i="2"/>
  <c r="AB117" i="2"/>
  <c r="AJ117" i="2"/>
  <c r="B61" i="2"/>
  <c r="F61" i="2"/>
  <c r="F60" i="2"/>
  <c r="T116" i="2"/>
  <c r="AJ116" i="2"/>
  <c r="X116" i="2"/>
  <c r="AF116" i="2"/>
  <c r="A31" i="5"/>
  <c r="B60" i="2"/>
  <c r="D60" i="2"/>
  <c r="H60" i="2"/>
  <c r="J60" i="2"/>
  <c r="L60" i="2"/>
  <c r="N60" i="2"/>
  <c r="N31" i="5" s="1"/>
  <c r="B59" i="5" s="1"/>
  <c r="P116" i="2"/>
  <c r="AB116" i="2"/>
  <c r="D59" i="2"/>
  <c r="H59" i="2"/>
  <c r="J59" i="2"/>
  <c r="L59" i="2"/>
  <c r="B59" i="2"/>
  <c r="X115" i="2"/>
  <c r="AB115" i="2"/>
  <c r="AF115" i="2"/>
  <c r="F59" i="2"/>
  <c r="T115" i="2"/>
  <c r="A30" i="5"/>
  <c r="N59" i="2"/>
  <c r="N30" i="5" s="1"/>
  <c r="B58" i="5" s="1"/>
  <c r="P115" i="2"/>
  <c r="AJ115" i="2"/>
  <c r="J58" i="2"/>
  <c r="T114" i="2"/>
  <c r="X114" i="2"/>
  <c r="AB114" i="2"/>
  <c r="AJ114" i="2"/>
  <c r="B58" i="2"/>
  <c r="H58" i="2"/>
  <c r="N58" i="2"/>
  <c r="N29" i="5" s="1"/>
  <c r="B57" i="5" s="1"/>
  <c r="A29" i="5"/>
  <c r="D58" i="2"/>
  <c r="F58" i="2"/>
  <c r="L58" i="2"/>
  <c r="P114" i="2"/>
  <c r="AF114" i="2"/>
  <c r="H57" i="2"/>
  <c r="N57" i="2"/>
  <c r="N28" i="5" s="1"/>
  <c r="B56" i="5" s="1"/>
  <c r="AB113" i="2"/>
  <c r="AJ113" i="2"/>
  <c r="A28" i="5"/>
  <c r="D57" i="2"/>
  <c r="F57" i="2"/>
  <c r="J57" i="2"/>
  <c r="L57" i="2"/>
  <c r="P113" i="2"/>
  <c r="T113" i="2"/>
  <c r="X113" i="2"/>
  <c r="B57" i="2"/>
  <c r="AF113" i="2"/>
  <c r="N56" i="2"/>
  <c r="N27" i="5" s="1"/>
  <c r="B55" i="5" s="1"/>
  <c r="X112" i="2"/>
  <c r="AF112" i="2"/>
  <c r="D56" i="2"/>
  <c r="P112" i="2"/>
  <c r="T112" i="2"/>
  <c r="AB112" i="2"/>
  <c r="A27" i="5"/>
  <c r="B56" i="2"/>
  <c r="F56" i="2"/>
  <c r="J56" i="2"/>
  <c r="L56" i="2"/>
  <c r="AJ112" i="2"/>
  <c r="H56" i="2"/>
  <c r="F55" i="2"/>
  <c r="J55" i="2"/>
  <c r="P111" i="2"/>
  <c r="AF111" i="2"/>
  <c r="D55" i="2"/>
  <c r="N55" i="2"/>
  <c r="N26" i="5" s="1"/>
  <c r="B54" i="5" s="1"/>
  <c r="T111" i="2"/>
  <c r="AB111" i="2"/>
  <c r="A26" i="5"/>
  <c r="B55" i="2"/>
  <c r="H55" i="2"/>
  <c r="L55" i="2"/>
  <c r="X111" i="2"/>
  <c r="AJ111" i="2"/>
  <c r="F54" i="2"/>
  <c r="J54" i="2"/>
  <c r="N54" i="2"/>
  <c r="N25" i="5" s="1"/>
  <c r="B53" i="5" s="1"/>
  <c r="AB110" i="2"/>
  <c r="A25" i="5"/>
  <c r="B54" i="2"/>
  <c r="D54" i="2"/>
  <c r="H54" i="2"/>
  <c r="L54" i="2"/>
  <c r="X110" i="2"/>
  <c r="AF110" i="2"/>
  <c r="AJ110" i="2"/>
  <c r="P110" i="2"/>
  <c r="T110" i="2"/>
  <c r="AF109" i="2"/>
  <c r="B53" i="2"/>
  <c r="D53" i="2"/>
  <c r="F53" i="2"/>
  <c r="H53" i="2"/>
  <c r="J53" i="2"/>
  <c r="L53" i="2"/>
  <c r="T109" i="2"/>
  <c r="AB109" i="2"/>
  <c r="AJ109" i="2"/>
  <c r="A24" i="5"/>
  <c r="N53" i="2"/>
  <c r="N24" i="5" s="1"/>
  <c r="B52" i="5" s="1"/>
  <c r="X109" i="2"/>
  <c r="P109" i="2"/>
  <c r="B52" i="2"/>
  <c r="D52" i="2"/>
  <c r="F52" i="2"/>
  <c r="H52" i="2"/>
  <c r="P108" i="2"/>
  <c r="AF108" i="2"/>
  <c r="AJ108" i="2"/>
  <c r="T108" i="2"/>
  <c r="X108" i="2"/>
  <c r="AB108" i="2"/>
  <c r="A23" i="5"/>
  <c r="J52" i="2"/>
  <c r="L52" i="2"/>
  <c r="N52" i="2"/>
  <c r="N23" i="5" s="1"/>
  <c r="B51" i="5" s="1"/>
  <c r="B51" i="2"/>
  <c r="D51" i="2"/>
  <c r="F51" i="2"/>
  <c r="H51" i="2"/>
  <c r="J51" i="2"/>
  <c r="L51" i="2"/>
  <c r="N51" i="2"/>
  <c r="N22" i="5" s="1"/>
  <c r="B50" i="5" s="1"/>
  <c r="X107" i="2"/>
  <c r="AB107" i="2"/>
  <c r="P107" i="2"/>
  <c r="T107" i="2"/>
  <c r="AJ107" i="2"/>
  <c r="A22" i="5"/>
  <c r="AF107" i="2"/>
  <c r="B50" i="2"/>
  <c r="D50" i="2"/>
  <c r="F50" i="2"/>
  <c r="H50" i="2"/>
  <c r="J50" i="2"/>
  <c r="L50" i="2"/>
  <c r="N50" i="2"/>
  <c r="N21" i="5" s="1"/>
  <c r="B49" i="5" s="1"/>
  <c r="AF106" i="2"/>
  <c r="P106" i="2"/>
  <c r="X106" i="2"/>
  <c r="AB106" i="2"/>
  <c r="AJ106" i="2"/>
  <c r="T106" i="2"/>
  <c r="A21" i="5"/>
  <c r="B49" i="2"/>
  <c r="D49" i="2"/>
  <c r="F49" i="2"/>
  <c r="H49" i="2"/>
  <c r="J49" i="2"/>
  <c r="L49" i="2"/>
  <c r="N49" i="2"/>
  <c r="N20" i="5" s="1"/>
  <c r="B48" i="5" s="1"/>
  <c r="P105" i="2"/>
  <c r="T105" i="2"/>
  <c r="AF105" i="2"/>
  <c r="AJ105" i="2"/>
  <c r="X105" i="2"/>
  <c r="A20" i="5"/>
  <c r="AB105" i="2"/>
  <c r="B48" i="2"/>
  <c r="D48" i="2"/>
  <c r="F48" i="2"/>
  <c r="H48" i="2"/>
  <c r="J48" i="2"/>
  <c r="L48" i="2"/>
  <c r="N48" i="2"/>
  <c r="N19" i="5" s="1"/>
  <c r="B47" i="5" s="1"/>
  <c r="AB104" i="2"/>
  <c r="P104" i="2"/>
  <c r="AF104" i="2"/>
  <c r="T104" i="2"/>
  <c r="X104" i="2"/>
  <c r="AJ104" i="2"/>
  <c r="A19" i="5"/>
  <c r="B47" i="2"/>
  <c r="D47" i="2"/>
  <c r="F47" i="2"/>
  <c r="H47" i="2"/>
  <c r="J47" i="2"/>
  <c r="L47" i="2"/>
  <c r="N47" i="2"/>
  <c r="N18" i="5" s="1"/>
  <c r="B46" i="5" s="1"/>
  <c r="P103" i="2"/>
  <c r="AF103" i="2"/>
  <c r="T103" i="2"/>
  <c r="AB103" i="2"/>
  <c r="AJ103" i="2"/>
  <c r="X103" i="2"/>
  <c r="A18" i="5"/>
  <c r="B46" i="2"/>
  <c r="D46" i="2"/>
  <c r="F46" i="2"/>
  <c r="H46" i="2"/>
  <c r="J46" i="2"/>
  <c r="L46" i="2"/>
  <c r="N46" i="2"/>
  <c r="N17" i="5" s="1"/>
  <c r="B45" i="5" s="1"/>
  <c r="P102" i="2"/>
  <c r="T102" i="2"/>
  <c r="X102" i="2"/>
  <c r="AB102" i="2"/>
  <c r="AF102" i="2"/>
  <c r="AJ102" i="2"/>
  <c r="A17" i="5"/>
  <c r="B45" i="2"/>
  <c r="D45" i="2"/>
  <c r="F45" i="2"/>
  <c r="H45" i="2"/>
  <c r="J45" i="2"/>
  <c r="L45" i="2"/>
  <c r="N45" i="2"/>
  <c r="N16" i="5" s="1"/>
  <c r="B44" i="5" s="1"/>
  <c r="P101" i="2"/>
  <c r="T101" i="2"/>
  <c r="X101" i="2"/>
  <c r="AB101" i="2"/>
  <c r="AF101" i="2"/>
  <c r="AJ101" i="2"/>
  <c r="A16" i="5"/>
  <c r="B44" i="2"/>
  <c r="D44" i="2"/>
  <c r="F44" i="2"/>
  <c r="H44" i="2"/>
  <c r="J44" i="2"/>
  <c r="L44" i="2"/>
  <c r="N44" i="2"/>
  <c r="N15" i="5" s="1"/>
  <c r="B43" i="5" s="1"/>
  <c r="P100" i="2"/>
  <c r="T100" i="2"/>
  <c r="X100" i="2"/>
  <c r="AB100" i="2"/>
  <c r="AF100" i="2"/>
  <c r="AJ100" i="2"/>
  <c r="A15" i="5"/>
  <c r="B43" i="2"/>
  <c r="Q99" i="2" s="1"/>
  <c r="D43" i="2"/>
  <c r="U99" i="2" s="1"/>
  <c r="F43" i="2"/>
  <c r="Y99" i="2" s="1"/>
  <c r="H43" i="2"/>
  <c r="AC99" i="2" s="1"/>
  <c r="J43" i="2"/>
  <c r="AG99" i="2" s="1"/>
  <c r="L43" i="2"/>
  <c r="AK99" i="2" s="1"/>
  <c r="N43" i="2"/>
  <c r="P99" i="2"/>
  <c r="T99" i="2"/>
  <c r="X99" i="2"/>
  <c r="AB99" i="2"/>
  <c r="AF99" i="2"/>
  <c r="AJ99" i="2"/>
  <c r="B42" i="2"/>
  <c r="Q98" i="2" s="1"/>
  <c r="D42" i="2"/>
  <c r="U98" i="2" s="1"/>
  <c r="F42" i="2"/>
  <c r="Y98" i="2" s="1"/>
  <c r="H42" i="2"/>
  <c r="AC98" i="2" s="1"/>
  <c r="J42" i="2"/>
  <c r="AG98" i="2" s="1"/>
  <c r="L42" i="2"/>
  <c r="AK98" i="2" s="1"/>
  <c r="N42" i="2"/>
  <c r="P98" i="2"/>
  <c r="T98" i="2"/>
  <c r="X98" i="2"/>
  <c r="AB98" i="2"/>
  <c r="AF98" i="2"/>
  <c r="AJ98" i="2"/>
  <c r="B41" i="2"/>
  <c r="Q97" i="2" s="1"/>
  <c r="D41" i="2"/>
  <c r="U97" i="2" s="1"/>
  <c r="F41" i="2"/>
  <c r="Y97" i="2" s="1"/>
  <c r="H41" i="2"/>
  <c r="AC97" i="2" s="1"/>
  <c r="J41" i="2"/>
  <c r="AG97" i="2" s="1"/>
  <c r="L41" i="2"/>
  <c r="AK97" i="2" s="1"/>
  <c r="N41" i="2"/>
  <c r="P97" i="2"/>
  <c r="T97" i="2"/>
  <c r="X97" i="2"/>
  <c r="AB97" i="2"/>
  <c r="AF97" i="2"/>
  <c r="AJ97" i="2"/>
  <c r="B40" i="2"/>
  <c r="Q96" i="2" s="1"/>
  <c r="D40" i="2"/>
  <c r="U96" i="2" s="1"/>
  <c r="F40" i="2"/>
  <c r="Y96" i="2" s="1"/>
  <c r="H40" i="2"/>
  <c r="AC96" i="2" s="1"/>
  <c r="J40" i="2"/>
  <c r="AG96" i="2" s="1"/>
  <c r="L40" i="2"/>
  <c r="AK96" i="2" s="1"/>
  <c r="N40" i="2"/>
  <c r="P96" i="2"/>
  <c r="T96" i="2"/>
  <c r="X96" i="2"/>
  <c r="AB96" i="2"/>
  <c r="AF96" i="2"/>
  <c r="AJ96" i="2"/>
  <c r="B39" i="2"/>
  <c r="Q95" i="2" s="1"/>
  <c r="D39" i="2"/>
  <c r="U95" i="2" s="1"/>
  <c r="F39" i="2"/>
  <c r="Y95" i="2" s="1"/>
  <c r="H39" i="2"/>
  <c r="AC95" i="2" s="1"/>
  <c r="J39" i="2"/>
  <c r="AG95" i="2" s="1"/>
  <c r="L39" i="2"/>
  <c r="AK95" i="2" s="1"/>
  <c r="N39" i="2"/>
  <c r="P95" i="2"/>
  <c r="T95" i="2"/>
  <c r="X95" i="2"/>
  <c r="AB95" i="2"/>
  <c r="AF95" i="2"/>
  <c r="AJ95" i="2"/>
  <c r="B38" i="2"/>
  <c r="Q94" i="2" s="1"/>
  <c r="D38" i="2"/>
  <c r="U94" i="2" s="1"/>
  <c r="F38" i="2"/>
  <c r="Y94" i="2" s="1"/>
  <c r="H38" i="2"/>
  <c r="AC94" i="2" s="1"/>
  <c r="J38" i="2"/>
  <c r="AG94" i="2" s="1"/>
  <c r="L38" i="2"/>
  <c r="AK94" i="2" s="1"/>
  <c r="N38" i="2"/>
  <c r="P94" i="2"/>
  <c r="T94" i="2"/>
  <c r="X94" i="2"/>
  <c r="AB94" i="2"/>
  <c r="AF94" i="2"/>
  <c r="AJ94" i="2"/>
  <c r="B37" i="2"/>
  <c r="Q93" i="2" s="1"/>
  <c r="D37" i="2"/>
  <c r="U93" i="2" s="1"/>
  <c r="F37" i="2"/>
  <c r="Y93" i="2" s="1"/>
  <c r="H37" i="2"/>
  <c r="AC93" i="2" s="1"/>
  <c r="J37" i="2"/>
  <c r="AG93" i="2" s="1"/>
  <c r="L37" i="2"/>
  <c r="AK93" i="2" s="1"/>
  <c r="N37" i="2"/>
  <c r="P93" i="2"/>
  <c r="T93" i="2"/>
  <c r="X93" i="2"/>
  <c r="AB93" i="2"/>
  <c r="AF93" i="2"/>
  <c r="AJ93" i="2"/>
  <c r="B36" i="2"/>
  <c r="Q92" i="2" s="1"/>
  <c r="D36" i="2"/>
  <c r="U92" i="2" s="1"/>
  <c r="F36" i="2"/>
  <c r="Y92" i="2" s="1"/>
  <c r="H36" i="2"/>
  <c r="AC92" i="2" s="1"/>
  <c r="J36" i="2"/>
  <c r="AG92" i="2" s="1"/>
  <c r="L36" i="2"/>
  <c r="AK92" i="2" s="1"/>
  <c r="N36" i="2"/>
  <c r="P92" i="2"/>
  <c r="T92" i="2"/>
  <c r="X92" i="2"/>
  <c r="AB92" i="2"/>
  <c r="AF92" i="2"/>
  <c r="AJ92" i="2"/>
  <c r="B35" i="2"/>
  <c r="Q91" i="2" s="1"/>
  <c r="D35" i="2"/>
  <c r="U91" i="2" s="1"/>
  <c r="F35" i="2"/>
  <c r="Y91" i="2" s="1"/>
  <c r="H35" i="2"/>
  <c r="AC91" i="2" s="1"/>
  <c r="J35" i="2"/>
  <c r="AG91" i="2" s="1"/>
  <c r="L35" i="2"/>
  <c r="AK91" i="2" s="1"/>
  <c r="N35" i="2"/>
  <c r="P91" i="2"/>
  <c r="T91" i="2"/>
  <c r="X91" i="2"/>
  <c r="AB91" i="2"/>
  <c r="AF91" i="2"/>
  <c r="AJ91" i="2"/>
  <c r="B34" i="2"/>
  <c r="Q90" i="2" s="1"/>
  <c r="D34" i="2"/>
  <c r="U90" i="2" s="1"/>
  <c r="F34" i="2"/>
  <c r="Y90" i="2" s="1"/>
  <c r="H34" i="2"/>
  <c r="AC90" i="2" s="1"/>
  <c r="J34" i="2"/>
  <c r="AG90" i="2" s="1"/>
  <c r="L34" i="2"/>
  <c r="AK90" i="2" s="1"/>
  <c r="N34" i="2"/>
  <c r="P90" i="2"/>
  <c r="T90" i="2"/>
  <c r="X90" i="2"/>
  <c r="AB90" i="2"/>
  <c r="AF90" i="2"/>
  <c r="AJ90" i="2"/>
  <c r="B33" i="2"/>
  <c r="Q89" i="2" s="1"/>
  <c r="D33" i="2"/>
  <c r="U89" i="2" s="1"/>
  <c r="F33" i="2"/>
  <c r="Y89" i="2" s="1"/>
  <c r="H33" i="2"/>
  <c r="AC89" i="2" s="1"/>
  <c r="J33" i="2"/>
  <c r="AG89" i="2" s="1"/>
  <c r="L33" i="2"/>
  <c r="AK89" i="2" s="1"/>
  <c r="N33" i="2"/>
  <c r="P89" i="2"/>
  <c r="T89" i="2"/>
  <c r="X89" i="2"/>
  <c r="AB89" i="2"/>
  <c r="AF89" i="2"/>
  <c r="AJ89" i="2"/>
  <c r="B32" i="2"/>
  <c r="Q88" i="2" s="1"/>
  <c r="D32" i="2"/>
  <c r="U88" i="2" s="1"/>
  <c r="F32" i="2"/>
  <c r="Y88" i="2" s="1"/>
  <c r="H32" i="2"/>
  <c r="AC88" i="2" s="1"/>
  <c r="J32" i="2"/>
  <c r="AG88" i="2" s="1"/>
  <c r="L32" i="2"/>
  <c r="AK88" i="2" s="1"/>
  <c r="N32" i="2"/>
  <c r="P88" i="2"/>
  <c r="T88" i="2"/>
  <c r="X88" i="2"/>
  <c r="AB88" i="2"/>
  <c r="AF88" i="2"/>
  <c r="AJ88" i="2"/>
  <c r="B31" i="2"/>
  <c r="Q87" i="2" s="1"/>
  <c r="D31" i="2"/>
  <c r="U87" i="2" s="1"/>
  <c r="F31" i="2"/>
  <c r="Y87" i="2" s="1"/>
  <c r="H31" i="2"/>
  <c r="AC87" i="2" s="1"/>
  <c r="J31" i="2"/>
  <c r="AG87" i="2" s="1"/>
  <c r="L31" i="2"/>
  <c r="AK87" i="2" s="1"/>
  <c r="N31" i="2"/>
  <c r="P87" i="2"/>
  <c r="T87" i="2"/>
  <c r="X87" i="2"/>
  <c r="AB87" i="2"/>
  <c r="AF87" i="2"/>
  <c r="AJ87" i="2"/>
  <c r="B30" i="2"/>
  <c r="Q86" i="2" s="1"/>
  <c r="D30" i="2"/>
  <c r="U86" i="2" s="1"/>
  <c r="F30" i="2"/>
  <c r="Y86" i="2" s="1"/>
  <c r="H30" i="2"/>
  <c r="AC86" i="2" s="1"/>
  <c r="J30" i="2"/>
  <c r="AG86" i="2" s="1"/>
  <c r="L30" i="2"/>
  <c r="AK86" i="2" s="1"/>
  <c r="N30" i="2"/>
  <c r="T86" i="2"/>
  <c r="X86" i="2"/>
  <c r="AB86" i="2"/>
  <c r="AF86" i="2"/>
  <c r="AJ86" i="2"/>
  <c r="P86" i="2"/>
  <c r="B29" i="2"/>
  <c r="Q85" i="2" s="1"/>
  <c r="D29" i="2"/>
  <c r="U85" i="2" s="1"/>
  <c r="F29" i="2"/>
  <c r="Y85" i="2" s="1"/>
  <c r="H29" i="2"/>
  <c r="AC85" i="2" s="1"/>
  <c r="J29" i="2"/>
  <c r="AG85" i="2" s="1"/>
  <c r="L29" i="2"/>
  <c r="AK85" i="2" s="1"/>
  <c r="N29" i="2"/>
  <c r="T85" i="2"/>
  <c r="AF85" i="2"/>
  <c r="AJ85" i="2"/>
  <c r="AB85" i="2"/>
  <c r="P85" i="2"/>
  <c r="X85" i="2"/>
  <c r="B28" i="2"/>
  <c r="Q84" i="2" s="1"/>
  <c r="D28" i="2"/>
  <c r="U84" i="2" s="1"/>
  <c r="F28" i="2"/>
  <c r="Y84" i="2" s="1"/>
  <c r="H28" i="2"/>
  <c r="AC84" i="2" s="1"/>
  <c r="J28" i="2"/>
  <c r="AG84" i="2" s="1"/>
  <c r="L28" i="2"/>
  <c r="AK84" i="2" s="1"/>
  <c r="N28" i="2"/>
  <c r="AB84" i="2"/>
  <c r="P84" i="2"/>
  <c r="T84" i="2"/>
  <c r="X84" i="2"/>
  <c r="AJ84" i="2"/>
  <c r="AF84" i="2"/>
  <c r="B27" i="2"/>
  <c r="Q83" i="2" s="1"/>
  <c r="D27" i="2"/>
  <c r="U83" i="2" s="1"/>
  <c r="F27" i="2"/>
  <c r="Y83" i="2" s="1"/>
  <c r="H27" i="2"/>
  <c r="AC83" i="2" s="1"/>
  <c r="J27" i="2"/>
  <c r="AG83" i="2" s="1"/>
  <c r="L27" i="2"/>
  <c r="AK83" i="2" s="1"/>
  <c r="N27" i="2"/>
  <c r="X83" i="2"/>
  <c r="P83" i="2"/>
  <c r="T83" i="2"/>
  <c r="AB83" i="2"/>
  <c r="AF83" i="2"/>
  <c r="AJ83" i="2"/>
  <c r="B23" i="2"/>
  <c r="Q79" i="2" s="1"/>
  <c r="D23" i="2"/>
  <c r="U79" i="2" s="1"/>
  <c r="F23" i="2"/>
  <c r="Y79" i="2" s="1"/>
  <c r="H23" i="2"/>
  <c r="AC79" i="2" s="1"/>
  <c r="J23" i="2"/>
  <c r="AG79" i="2" s="1"/>
  <c r="L23" i="2"/>
  <c r="AK79" i="2" s="1"/>
  <c r="N23" i="2"/>
  <c r="P79" i="2"/>
  <c r="T79" i="2"/>
  <c r="X79" i="2"/>
  <c r="AB79" i="2"/>
  <c r="AF79" i="2"/>
  <c r="AJ79" i="2"/>
  <c r="B22" i="2"/>
  <c r="Q78" i="2" s="1"/>
  <c r="D22" i="2"/>
  <c r="U78" i="2" s="1"/>
  <c r="F22" i="2"/>
  <c r="Y78" i="2" s="1"/>
  <c r="H22" i="2"/>
  <c r="AC78" i="2" s="1"/>
  <c r="J22" i="2"/>
  <c r="AG78" i="2" s="1"/>
  <c r="L22" i="2"/>
  <c r="AK78" i="2" s="1"/>
  <c r="N22" i="2"/>
  <c r="P78" i="2"/>
  <c r="T78" i="2"/>
  <c r="X78" i="2"/>
  <c r="AB78" i="2"/>
  <c r="AF78" i="2"/>
  <c r="AJ78" i="2"/>
  <c r="B21" i="2"/>
  <c r="Q77" i="2" s="1"/>
  <c r="D21" i="2"/>
  <c r="U77" i="2" s="1"/>
  <c r="F21" i="2"/>
  <c r="Y77" i="2" s="1"/>
  <c r="H21" i="2"/>
  <c r="AC77" i="2" s="1"/>
  <c r="J21" i="2"/>
  <c r="AG77" i="2" s="1"/>
  <c r="L21" i="2"/>
  <c r="AK77" i="2" s="1"/>
  <c r="N21" i="2"/>
  <c r="T77" i="2"/>
  <c r="AF77" i="2"/>
  <c r="P77" i="2"/>
  <c r="X77" i="2"/>
  <c r="AB77" i="2"/>
  <c r="AJ77" i="2"/>
  <c r="B20" i="2"/>
  <c r="Q76" i="2" s="1"/>
  <c r="D20" i="2"/>
  <c r="U76" i="2" s="1"/>
  <c r="F20" i="2"/>
  <c r="Y76" i="2" s="1"/>
  <c r="H20" i="2"/>
  <c r="AC76" i="2" s="1"/>
  <c r="J20" i="2"/>
  <c r="AG76" i="2" s="1"/>
  <c r="L20" i="2"/>
  <c r="AK76" i="2" s="1"/>
  <c r="N20" i="2"/>
  <c r="P76" i="2"/>
  <c r="T76" i="2"/>
  <c r="X76" i="2"/>
  <c r="AB76" i="2"/>
  <c r="AF76" i="2"/>
  <c r="AJ76" i="2"/>
  <c r="B19" i="2"/>
  <c r="Q75" i="2" s="1"/>
  <c r="D19" i="2"/>
  <c r="U75" i="2" s="1"/>
  <c r="F19" i="2"/>
  <c r="Y75" i="2" s="1"/>
  <c r="H19" i="2"/>
  <c r="AC75" i="2" s="1"/>
  <c r="J19" i="2"/>
  <c r="AG75" i="2" s="1"/>
  <c r="L19" i="2"/>
  <c r="AK75" i="2" s="1"/>
  <c r="N19" i="2"/>
  <c r="P75" i="2"/>
  <c r="T75" i="2"/>
  <c r="X75" i="2"/>
  <c r="AB75" i="2"/>
  <c r="AF75" i="2"/>
  <c r="AJ75" i="2"/>
  <c r="B18" i="2"/>
  <c r="Q74" i="2" s="1"/>
  <c r="D18" i="2"/>
  <c r="U74" i="2" s="1"/>
  <c r="F18" i="2"/>
  <c r="Y74" i="2" s="1"/>
  <c r="H18" i="2"/>
  <c r="AC74" i="2" s="1"/>
  <c r="J18" i="2"/>
  <c r="AG74" i="2" s="1"/>
  <c r="L18" i="2"/>
  <c r="AK74" i="2" s="1"/>
  <c r="N18" i="2"/>
  <c r="P74" i="2"/>
  <c r="T74" i="2"/>
  <c r="X74" i="2"/>
  <c r="AB74" i="2"/>
  <c r="AF74" i="2"/>
  <c r="AJ74" i="2"/>
  <c r="B17" i="2"/>
  <c r="Q73" i="2" s="1"/>
  <c r="D17" i="2"/>
  <c r="U73" i="2" s="1"/>
  <c r="F17" i="2"/>
  <c r="Y73" i="2" s="1"/>
  <c r="H17" i="2"/>
  <c r="AC73" i="2" s="1"/>
  <c r="J17" i="2"/>
  <c r="AG73" i="2" s="1"/>
  <c r="L17" i="2"/>
  <c r="AK73" i="2" s="1"/>
  <c r="N17" i="2"/>
  <c r="P73" i="2"/>
  <c r="AB73" i="2"/>
  <c r="AJ73" i="2"/>
  <c r="T73" i="2"/>
  <c r="X73" i="2"/>
  <c r="AF73" i="2"/>
  <c r="B16" i="2"/>
  <c r="Q72" i="2" s="1"/>
  <c r="D16" i="2"/>
  <c r="U72" i="2" s="1"/>
  <c r="F16" i="2"/>
  <c r="Y72" i="2" s="1"/>
  <c r="H16" i="2"/>
  <c r="AC72" i="2" s="1"/>
  <c r="J16" i="2"/>
  <c r="AG72" i="2" s="1"/>
  <c r="L16" i="2"/>
  <c r="AK72" i="2" s="1"/>
  <c r="N16" i="2"/>
  <c r="P72" i="2"/>
  <c r="T72" i="2"/>
  <c r="AB72" i="2"/>
  <c r="AF72" i="2"/>
  <c r="X72" i="2"/>
  <c r="AJ72" i="2"/>
  <c r="B15" i="2"/>
  <c r="Q71" i="2" s="1"/>
  <c r="D15" i="2"/>
  <c r="U71" i="2" s="1"/>
  <c r="F15" i="2"/>
  <c r="Y71" i="2" s="1"/>
  <c r="H15" i="2"/>
  <c r="AC71" i="2" s="1"/>
  <c r="J15" i="2"/>
  <c r="AG71" i="2" s="1"/>
  <c r="L15" i="2"/>
  <c r="AK71" i="2" s="1"/>
  <c r="N15" i="2"/>
  <c r="X71" i="2"/>
  <c r="P71" i="2"/>
  <c r="T71" i="2"/>
  <c r="AB71" i="2"/>
  <c r="AF71" i="2"/>
  <c r="AJ71" i="2"/>
  <c r="H38" i="5" l="1"/>
  <c r="AC99" i="5" s="1"/>
  <c r="AC123" i="2"/>
  <c r="L38" i="5"/>
  <c r="AK99" i="5" s="1"/>
  <c r="AK123" i="2"/>
  <c r="J38" i="5"/>
  <c r="AG99" i="5" s="1"/>
  <c r="AG123" i="2"/>
  <c r="B38" i="5"/>
  <c r="Q99" i="5" s="1"/>
  <c r="Q123" i="2"/>
  <c r="D38" i="5"/>
  <c r="U99" i="5" s="1"/>
  <c r="U123" i="2"/>
  <c r="F38" i="5"/>
  <c r="Y99" i="5" s="1"/>
  <c r="Y123" i="2"/>
  <c r="P99" i="5"/>
  <c r="T99" i="5"/>
  <c r="X99" i="5"/>
  <c r="AB99" i="5"/>
  <c r="AF99" i="5"/>
  <c r="AJ99" i="5"/>
  <c r="A66" i="5"/>
  <c r="Y122" i="2"/>
  <c r="F37" i="5"/>
  <c r="Y98" i="5" s="1"/>
  <c r="B37" i="5"/>
  <c r="Q98" i="5" s="1"/>
  <c r="Q122" i="2"/>
  <c r="D37" i="5"/>
  <c r="U98" i="5" s="1"/>
  <c r="U122" i="2"/>
  <c r="A65" i="5"/>
  <c r="P98" i="5"/>
  <c r="T98" i="5"/>
  <c r="X98" i="5"/>
  <c r="AB98" i="5"/>
  <c r="AF98" i="5"/>
  <c r="AJ98" i="5"/>
  <c r="H37" i="5"/>
  <c r="AC98" i="5" s="1"/>
  <c r="AC122" i="2"/>
  <c r="J37" i="5"/>
  <c r="AG98" i="5" s="1"/>
  <c r="AG122" i="2"/>
  <c r="AK122" i="2"/>
  <c r="L37" i="5"/>
  <c r="AK98" i="5" s="1"/>
  <c r="Q121" i="2"/>
  <c r="B36" i="5"/>
  <c r="Q97" i="5" s="1"/>
  <c r="D36" i="5"/>
  <c r="U97" i="5" s="1"/>
  <c r="U121" i="2"/>
  <c r="F36" i="5"/>
  <c r="Y97" i="5" s="1"/>
  <c r="Y121" i="2"/>
  <c r="H36" i="5"/>
  <c r="AC97" i="5" s="1"/>
  <c r="AC121" i="2"/>
  <c r="AG121" i="2"/>
  <c r="J36" i="5"/>
  <c r="AG97" i="5" s="1"/>
  <c r="L36" i="5"/>
  <c r="AK97" i="5" s="1"/>
  <c r="AK121" i="2"/>
  <c r="P97" i="5"/>
  <c r="T97" i="5"/>
  <c r="X97" i="5"/>
  <c r="AB97" i="5"/>
  <c r="AF97" i="5"/>
  <c r="AJ97" i="5"/>
  <c r="A64" i="5"/>
  <c r="U120" i="2"/>
  <c r="D35" i="5"/>
  <c r="U96" i="5" s="1"/>
  <c r="F35" i="5"/>
  <c r="Y96" i="5" s="1"/>
  <c r="Y120" i="2"/>
  <c r="H35" i="5"/>
  <c r="AC96" i="5" s="1"/>
  <c r="AC120" i="2"/>
  <c r="A63" i="5"/>
  <c r="P96" i="5"/>
  <c r="T96" i="5"/>
  <c r="X96" i="5"/>
  <c r="AB96" i="5"/>
  <c r="AF96" i="5"/>
  <c r="AJ96" i="5"/>
  <c r="Q120" i="2"/>
  <c r="B35" i="5"/>
  <c r="Q96" i="5" s="1"/>
  <c r="J35" i="5"/>
  <c r="AG96" i="5" s="1"/>
  <c r="AG120" i="2"/>
  <c r="AK120" i="2"/>
  <c r="L35" i="5"/>
  <c r="AK96" i="5" s="1"/>
  <c r="U119" i="2"/>
  <c r="D34" i="5"/>
  <c r="U95" i="5" s="1"/>
  <c r="Y119" i="2"/>
  <c r="F34" i="5"/>
  <c r="Y95" i="5" s="1"/>
  <c r="AG119" i="2"/>
  <c r="J34" i="5"/>
  <c r="AG95" i="5" s="1"/>
  <c r="AK119" i="2"/>
  <c r="L34" i="5"/>
  <c r="AK95" i="5" s="1"/>
  <c r="B34" i="5"/>
  <c r="Q95" i="5" s="1"/>
  <c r="Q119" i="2"/>
  <c r="H34" i="5"/>
  <c r="AC95" i="5" s="1"/>
  <c r="AC119" i="2"/>
  <c r="A62" i="5"/>
  <c r="P95" i="5"/>
  <c r="T95" i="5"/>
  <c r="X95" i="5"/>
  <c r="AB95" i="5"/>
  <c r="AF95" i="5"/>
  <c r="AJ95" i="5"/>
  <c r="B33" i="5"/>
  <c r="Q94" i="5" s="1"/>
  <c r="Q118" i="2"/>
  <c r="U118" i="2"/>
  <c r="D33" i="5"/>
  <c r="U94" i="5" s="1"/>
  <c r="F33" i="5"/>
  <c r="Y94" i="5" s="1"/>
  <c r="Y118" i="2"/>
  <c r="AC118" i="2"/>
  <c r="H33" i="5"/>
  <c r="AC94" i="5" s="1"/>
  <c r="AG118" i="2"/>
  <c r="J33" i="5"/>
  <c r="AG94" i="5" s="1"/>
  <c r="AK118" i="2"/>
  <c r="L33" i="5"/>
  <c r="AK94" i="5" s="1"/>
  <c r="A61" i="5"/>
  <c r="P94" i="5"/>
  <c r="T94" i="5"/>
  <c r="X94" i="5"/>
  <c r="AB94" i="5"/>
  <c r="AF94" i="5"/>
  <c r="AJ94" i="5"/>
  <c r="D32" i="5"/>
  <c r="U93" i="5" s="1"/>
  <c r="U117" i="2"/>
  <c r="AC117" i="2"/>
  <c r="H32" i="5"/>
  <c r="AC93" i="5" s="1"/>
  <c r="J32" i="5"/>
  <c r="AG93" i="5" s="1"/>
  <c r="AG117" i="2"/>
  <c r="L32" i="5"/>
  <c r="AK93" i="5" s="1"/>
  <c r="AK117" i="2"/>
  <c r="A60" i="5"/>
  <c r="P93" i="5"/>
  <c r="T93" i="5"/>
  <c r="X93" i="5"/>
  <c r="AB93" i="5"/>
  <c r="AF93" i="5"/>
  <c r="AJ93" i="5"/>
  <c r="Q117" i="2"/>
  <c r="B32" i="5"/>
  <c r="Q93" i="5" s="1"/>
  <c r="Y117" i="2"/>
  <c r="F32" i="5"/>
  <c r="Y93" i="5" s="1"/>
  <c r="Y116" i="2"/>
  <c r="F31" i="5"/>
  <c r="Y92" i="5" s="1"/>
  <c r="A59" i="5"/>
  <c r="P92" i="5"/>
  <c r="T92" i="5"/>
  <c r="X92" i="5"/>
  <c r="AB92" i="5"/>
  <c r="AF92" i="5"/>
  <c r="AJ92" i="5"/>
  <c r="Q116" i="2"/>
  <c r="B31" i="5"/>
  <c r="Q92" i="5" s="1"/>
  <c r="U116" i="2"/>
  <c r="D31" i="5"/>
  <c r="U92" i="5" s="1"/>
  <c r="H31" i="5"/>
  <c r="AC92" i="5" s="1"/>
  <c r="AC116" i="2"/>
  <c r="AG116" i="2"/>
  <c r="J31" i="5"/>
  <c r="AG92" i="5" s="1"/>
  <c r="L31" i="5"/>
  <c r="AK92" i="5" s="1"/>
  <c r="AK116" i="2"/>
  <c r="D30" i="5"/>
  <c r="U91" i="5" s="1"/>
  <c r="U115" i="2"/>
  <c r="AC115" i="2"/>
  <c r="H30" i="5"/>
  <c r="AC91" i="5" s="1"/>
  <c r="J30" i="5"/>
  <c r="AG91" i="5" s="1"/>
  <c r="AG115" i="2"/>
  <c r="AK115" i="2"/>
  <c r="L30" i="5"/>
  <c r="AK91" i="5" s="1"/>
  <c r="Q115" i="2"/>
  <c r="B30" i="5"/>
  <c r="Q91" i="5" s="1"/>
  <c r="Y115" i="2"/>
  <c r="F30" i="5"/>
  <c r="Y91" i="5" s="1"/>
  <c r="A58" i="5"/>
  <c r="P91" i="5"/>
  <c r="T91" i="5"/>
  <c r="X91" i="5"/>
  <c r="AB91" i="5"/>
  <c r="AF91" i="5"/>
  <c r="AJ91" i="5"/>
  <c r="AG114" i="2"/>
  <c r="J29" i="5"/>
  <c r="AG90" i="5" s="1"/>
  <c r="Q114" i="2"/>
  <c r="B29" i="5"/>
  <c r="Q90" i="5" s="1"/>
  <c r="H29" i="5"/>
  <c r="AC90" i="5" s="1"/>
  <c r="AC114" i="2"/>
  <c r="A57" i="5"/>
  <c r="P90" i="5"/>
  <c r="T90" i="5"/>
  <c r="X90" i="5"/>
  <c r="AB90" i="5"/>
  <c r="AF90" i="5"/>
  <c r="AJ90" i="5"/>
  <c r="D29" i="5"/>
  <c r="U90" i="5" s="1"/>
  <c r="U114" i="2"/>
  <c r="Y114" i="2"/>
  <c r="F29" i="5"/>
  <c r="Y90" i="5" s="1"/>
  <c r="AK114" i="2"/>
  <c r="L29" i="5"/>
  <c r="AK90" i="5" s="1"/>
  <c r="H28" i="5"/>
  <c r="AC89" i="5" s="1"/>
  <c r="AC113" i="2"/>
  <c r="A56" i="5"/>
  <c r="P89" i="5"/>
  <c r="T89" i="5"/>
  <c r="X89" i="5"/>
  <c r="AB89" i="5"/>
  <c r="AF89" i="5"/>
  <c r="AJ89" i="5"/>
  <c r="U113" i="2"/>
  <c r="D28" i="5"/>
  <c r="U89" i="5" s="1"/>
  <c r="F28" i="5"/>
  <c r="Y89" i="5" s="1"/>
  <c r="Y113" i="2"/>
  <c r="AG113" i="2"/>
  <c r="J28" i="5"/>
  <c r="AG89" i="5" s="1"/>
  <c r="AK113" i="2"/>
  <c r="L28" i="5"/>
  <c r="AK89" i="5" s="1"/>
  <c r="Q113" i="2"/>
  <c r="B28" i="5"/>
  <c r="Q89" i="5" s="1"/>
  <c r="D27" i="5"/>
  <c r="U88" i="5" s="1"/>
  <c r="U112" i="2"/>
  <c r="A55" i="5"/>
  <c r="P88" i="5"/>
  <c r="T88" i="5"/>
  <c r="X88" i="5"/>
  <c r="AB88" i="5"/>
  <c r="AF88" i="5"/>
  <c r="AJ88" i="5"/>
  <c r="Q112" i="2"/>
  <c r="B27" i="5"/>
  <c r="Q88" i="5" s="1"/>
  <c r="Y112" i="2"/>
  <c r="F27" i="5"/>
  <c r="Y88" i="5" s="1"/>
  <c r="AG112" i="2"/>
  <c r="J27" i="5"/>
  <c r="AG88" i="5" s="1"/>
  <c r="AK112" i="2"/>
  <c r="L27" i="5"/>
  <c r="AK88" i="5" s="1"/>
  <c r="AC112" i="2"/>
  <c r="H27" i="5"/>
  <c r="AC88" i="5" s="1"/>
  <c r="Y111" i="2"/>
  <c r="F26" i="5"/>
  <c r="Y87" i="5" s="1"/>
  <c r="AG111" i="2"/>
  <c r="J26" i="5"/>
  <c r="AG87" i="5" s="1"/>
  <c r="D26" i="5"/>
  <c r="U87" i="5" s="1"/>
  <c r="U111" i="2"/>
  <c r="A54" i="5"/>
  <c r="P87" i="5"/>
  <c r="T87" i="5"/>
  <c r="X87" i="5"/>
  <c r="AB87" i="5"/>
  <c r="AF87" i="5"/>
  <c r="AJ87" i="5"/>
  <c r="Q111" i="2"/>
  <c r="B26" i="5"/>
  <c r="Q87" i="5" s="1"/>
  <c r="AC111" i="2"/>
  <c r="H26" i="5"/>
  <c r="AC87" i="5" s="1"/>
  <c r="AK111" i="2"/>
  <c r="L26" i="5"/>
  <c r="AK87" i="5" s="1"/>
  <c r="F25" i="5"/>
  <c r="Y86" i="5" s="1"/>
  <c r="Y110" i="2"/>
  <c r="J25" i="5"/>
  <c r="AG86" i="5" s="1"/>
  <c r="AG110" i="2"/>
  <c r="P86" i="5"/>
  <c r="T86" i="5"/>
  <c r="X86" i="5"/>
  <c r="AB86" i="5"/>
  <c r="A53" i="5"/>
  <c r="AF86" i="5"/>
  <c r="AJ86" i="5"/>
  <c r="Q110" i="2"/>
  <c r="B25" i="5"/>
  <c r="Q86" i="5" s="1"/>
  <c r="U110" i="2"/>
  <c r="D25" i="5"/>
  <c r="U86" i="5" s="1"/>
  <c r="H25" i="5"/>
  <c r="AC86" i="5" s="1"/>
  <c r="AC110" i="2"/>
  <c r="AK110" i="2"/>
  <c r="L25" i="5"/>
  <c r="AK86" i="5" s="1"/>
  <c r="Q109" i="2"/>
  <c r="B24" i="5"/>
  <c r="Q85" i="5" s="1"/>
  <c r="D24" i="5"/>
  <c r="U85" i="5" s="1"/>
  <c r="U109" i="2"/>
  <c r="Y109" i="2"/>
  <c r="F24" i="5"/>
  <c r="Y85" i="5" s="1"/>
  <c r="H24" i="5"/>
  <c r="AC85" i="5" s="1"/>
  <c r="AC109" i="2"/>
  <c r="AG109" i="2"/>
  <c r="J24" i="5"/>
  <c r="AG85" i="5" s="1"/>
  <c r="L24" i="5"/>
  <c r="AK85" i="5" s="1"/>
  <c r="AK109" i="2"/>
  <c r="A52" i="5"/>
  <c r="P85" i="5"/>
  <c r="T85" i="5"/>
  <c r="X85" i="5"/>
  <c r="AB85" i="5"/>
  <c r="AF85" i="5"/>
  <c r="AJ85" i="5"/>
  <c r="Q108" i="2"/>
  <c r="B23" i="5"/>
  <c r="Q84" i="5" s="1"/>
  <c r="U108" i="2"/>
  <c r="D23" i="5"/>
  <c r="U84" i="5" s="1"/>
  <c r="Y108" i="2"/>
  <c r="F23" i="5"/>
  <c r="Y84" i="5" s="1"/>
  <c r="AC108" i="2"/>
  <c r="H23" i="5"/>
  <c r="AC84" i="5" s="1"/>
  <c r="A51" i="5"/>
  <c r="P84" i="5"/>
  <c r="T84" i="5"/>
  <c r="X84" i="5"/>
  <c r="AB84" i="5"/>
  <c r="AF84" i="5"/>
  <c r="AJ84" i="5"/>
  <c r="J23" i="5"/>
  <c r="AG84" i="5" s="1"/>
  <c r="AG108" i="2"/>
  <c r="AK108" i="2"/>
  <c r="L23" i="5"/>
  <c r="AK84" i="5" s="1"/>
  <c r="Q107" i="2"/>
  <c r="B22" i="5"/>
  <c r="Q83" i="5" s="1"/>
  <c r="U107" i="2"/>
  <c r="D22" i="5"/>
  <c r="U83" i="5" s="1"/>
  <c r="Y107" i="2"/>
  <c r="F22" i="5"/>
  <c r="Y83" i="5" s="1"/>
  <c r="AC107" i="2"/>
  <c r="H22" i="5"/>
  <c r="AC83" i="5" s="1"/>
  <c r="AG107" i="2"/>
  <c r="J22" i="5"/>
  <c r="AG83" i="5" s="1"/>
  <c r="AK107" i="2"/>
  <c r="L22" i="5"/>
  <c r="AK83" i="5" s="1"/>
  <c r="A50" i="5"/>
  <c r="P83" i="5"/>
  <c r="T83" i="5"/>
  <c r="X83" i="5"/>
  <c r="AB83" i="5"/>
  <c r="AF83" i="5"/>
  <c r="AJ83" i="5"/>
  <c r="Q106" i="2"/>
  <c r="B21" i="5"/>
  <c r="Q82" i="5" s="1"/>
  <c r="D21" i="5"/>
  <c r="U82" i="5" s="1"/>
  <c r="U106" i="2"/>
  <c r="Y106" i="2"/>
  <c r="F21" i="5"/>
  <c r="Y82" i="5" s="1"/>
  <c r="AC106" i="2"/>
  <c r="H21" i="5"/>
  <c r="AC82" i="5" s="1"/>
  <c r="AG106" i="2"/>
  <c r="J21" i="5"/>
  <c r="AG82" i="5" s="1"/>
  <c r="AK106" i="2"/>
  <c r="L21" i="5"/>
  <c r="AK82" i="5" s="1"/>
  <c r="A49" i="5"/>
  <c r="T82" i="5"/>
  <c r="AB82" i="5"/>
  <c r="AJ82" i="5"/>
  <c r="P82" i="5"/>
  <c r="X82" i="5"/>
  <c r="AF82" i="5"/>
  <c r="Q105" i="2"/>
  <c r="B20" i="5"/>
  <c r="Q81" i="5" s="1"/>
  <c r="U105" i="2"/>
  <c r="D20" i="5"/>
  <c r="U81" i="5" s="1"/>
  <c r="Y105" i="2"/>
  <c r="F20" i="5"/>
  <c r="AC105" i="2"/>
  <c r="H20" i="5"/>
  <c r="AC81" i="5" s="1"/>
  <c r="AG105" i="2"/>
  <c r="J20" i="5"/>
  <c r="AG81" i="5" s="1"/>
  <c r="AK105" i="2"/>
  <c r="L20" i="5"/>
  <c r="AK81" i="5" s="1"/>
  <c r="A48" i="5"/>
  <c r="P81" i="5"/>
  <c r="AB81" i="5"/>
  <c r="AF81" i="5"/>
  <c r="AJ81" i="5"/>
  <c r="T81" i="5"/>
  <c r="X81" i="5"/>
  <c r="Q104" i="2"/>
  <c r="B19" i="5"/>
  <c r="Q80" i="5" s="1"/>
  <c r="U104" i="2"/>
  <c r="D19" i="5"/>
  <c r="U80" i="5" s="1"/>
  <c r="Y104" i="2"/>
  <c r="F19" i="5"/>
  <c r="AC104" i="2"/>
  <c r="H19" i="5"/>
  <c r="AG104" i="2"/>
  <c r="J19" i="5"/>
  <c r="AG80" i="5" s="1"/>
  <c r="AK104" i="2"/>
  <c r="L19" i="5"/>
  <c r="A47" i="5"/>
  <c r="P80" i="5"/>
  <c r="X80" i="5"/>
  <c r="T80" i="5"/>
  <c r="AB80" i="5"/>
  <c r="AF80" i="5"/>
  <c r="AJ80" i="5"/>
  <c r="Q103" i="2"/>
  <c r="B18" i="5"/>
  <c r="Q79" i="5" s="1"/>
  <c r="U103" i="2"/>
  <c r="D18" i="5"/>
  <c r="U79" i="5" s="1"/>
  <c r="Y103" i="2"/>
  <c r="F18" i="5"/>
  <c r="Y79" i="5" s="1"/>
  <c r="H18" i="5"/>
  <c r="AC79" i="5" s="1"/>
  <c r="AC103" i="2"/>
  <c r="AG103" i="2"/>
  <c r="J18" i="5"/>
  <c r="AG79" i="5" s="1"/>
  <c r="AK103" i="2"/>
  <c r="L18" i="5"/>
  <c r="AK79" i="5" s="1"/>
  <c r="P79" i="5"/>
  <c r="T79" i="5"/>
  <c r="AB79" i="5"/>
  <c r="A46" i="5"/>
  <c r="X79" i="5"/>
  <c r="AF79" i="5"/>
  <c r="AJ79" i="5"/>
  <c r="Q102" i="2"/>
  <c r="B17" i="5"/>
  <c r="Q78" i="5" s="1"/>
  <c r="U102" i="2"/>
  <c r="D17" i="5"/>
  <c r="U78" i="5" s="1"/>
  <c r="Y102" i="2"/>
  <c r="F17" i="5"/>
  <c r="Y78" i="5" s="1"/>
  <c r="AC102" i="2"/>
  <c r="H17" i="5"/>
  <c r="AC78" i="5" s="1"/>
  <c r="AG102" i="2"/>
  <c r="J17" i="5"/>
  <c r="AG78" i="5" s="1"/>
  <c r="AK102" i="2"/>
  <c r="L17" i="5"/>
  <c r="AK78" i="5" s="1"/>
  <c r="A45" i="5"/>
  <c r="X78" i="5"/>
  <c r="P78" i="5"/>
  <c r="T78" i="5"/>
  <c r="AB78" i="5"/>
  <c r="AF78" i="5"/>
  <c r="AJ78" i="5"/>
  <c r="Q101" i="2"/>
  <c r="B16" i="5"/>
  <c r="Q77" i="5" s="1"/>
  <c r="U101" i="2"/>
  <c r="D16" i="5"/>
  <c r="U77" i="5" s="1"/>
  <c r="Y101" i="2"/>
  <c r="F16" i="5"/>
  <c r="Y77" i="5" s="1"/>
  <c r="AC101" i="2"/>
  <c r="H16" i="5"/>
  <c r="AC77" i="5" s="1"/>
  <c r="AG101" i="2"/>
  <c r="J16" i="5"/>
  <c r="AG77" i="5" s="1"/>
  <c r="AK101" i="2"/>
  <c r="L16" i="5"/>
  <c r="AK77" i="5" s="1"/>
  <c r="T77" i="5"/>
  <c r="X77" i="5"/>
  <c r="A44" i="5"/>
  <c r="P77" i="5"/>
  <c r="AB77" i="5"/>
  <c r="AF77" i="5"/>
  <c r="AJ77" i="5"/>
  <c r="Q100" i="2"/>
  <c r="B15" i="5"/>
  <c r="Q76" i="5" s="1"/>
  <c r="U100" i="2"/>
  <c r="D15" i="5"/>
  <c r="Y100" i="2"/>
  <c r="F15" i="5"/>
  <c r="AC100" i="2"/>
  <c r="H15" i="5"/>
  <c r="AG100" i="2"/>
  <c r="J15" i="5"/>
  <c r="AG76" i="5" s="1"/>
  <c r="AK100" i="2"/>
  <c r="L15" i="5"/>
  <c r="P76" i="5"/>
  <c r="X76" i="5"/>
  <c r="AJ76" i="5"/>
  <c r="A43" i="5"/>
  <c r="T76" i="5"/>
  <c r="AB76" i="5"/>
  <c r="AF76" i="5"/>
</calcChain>
</file>

<file path=xl/sharedStrings.xml><?xml version="1.0" encoding="utf-8"?>
<sst xmlns="http://schemas.openxmlformats.org/spreadsheetml/2006/main" count="199" uniqueCount="96">
  <si>
    <t>Data Input KPI Produksi Tahunan 2026</t>
  </si>
  <si>
    <t>Data sumber tahunan untuk dashboard. Input actual harian disimpan di sini.</t>
  </si>
  <si>
    <t>Target</t>
  </si>
  <si>
    <t>Nilai</t>
  </si>
  <si>
    <t>PA</t>
  </si>
  <si>
    <t>Tanggal</t>
  </si>
  <si>
    <t>UA</t>
  </si>
  <si>
    <t>Payload</t>
  </si>
  <si>
    <t>Cycle Time</t>
  </si>
  <si>
    <t>Fuel Ratio</t>
  </si>
  <si>
    <t>Unit Running</t>
  </si>
  <si>
    <t>TDP</t>
  </si>
  <si>
    <t>Produksi</t>
  </si>
  <si>
    <t>Keterangan</t>
  </si>
  <si>
    <t>Kelompok Minggu</t>
  </si>
  <si>
    <t>Produksi Bulanan Dasar</t>
  </si>
  <si>
    <t>Produksi Harian Dasar</t>
  </si>
  <si>
    <t>Produksi Oktober</t>
  </si>
  <si>
    <t>Produksi Harian Oktober</t>
  </si>
  <si>
    <t>Produksi November</t>
  </si>
  <si>
    <t>Produksi Harian November</t>
  </si>
  <si>
    <t>Produksi Desember</t>
  </si>
  <si>
    <t>Produksi Harian Desember</t>
  </si>
  <si>
    <t>8/8 KPI tersedia</t>
  </si>
  <si>
    <t>Tidak ada data</t>
  </si>
  <si>
    <t>7/8 KPI tersedia</t>
  </si>
  <si>
    <t>Grafik Pencapaian KPI Produksi 2026</t>
  </si>
  <si>
    <t>Pencapaian aktual dikelompokkan mengikuti Kelompok Minggu (W01–W53) pada data harian.</t>
  </si>
  <si>
    <t>KPI</t>
  </si>
  <si>
    <t>Bulan</t>
  </si>
  <si>
    <t>Target Produksi (Ton)</t>
  </si>
  <si>
    <t>TPD</t>
  </si>
  <si>
    <t>Target bulanan tersedia Aug–Okt</t>
  </si>
  <si>
    <t>Pencapaian KPI Mingguan</t>
  </si>
  <si>
    <t>PA Actual</t>
  </si>
  <si>
    <t>PA Target</t>
  </si>
  <si>
    <t>UA Actual</t>
  </si>
  <si>
    <t>UA Target</t>
  </si>
  <si>
    <t>Payload Actual</t>
  </si>
  <si>
    <t>Payload Target</t>
  </si>
  <si>
    <t>Cycle Time Actual</t>
  </si>
  <si>
    <t>Cycle Time Target</t>
  </si>
  <si>
    <t>Fuel Ratio Actual</t>
  </si>
  <si>
    <t>Fuel Ratio Target</t>
  </si>
  <si>
    <t>TPD Actual</t>
  </si>
  <si>
    <t>TPD Target</t>
  </si>
  <si>
    <t>Produksi Actual (Ton)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</si>
  <si>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</si>
  <si>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</si>
  <si>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</si>
  <si>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</si>
  <si>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</si>
  <si>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</si>
  <si>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</si>
  <si>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</si>
  <si>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</si>
  <si>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</si>
  <si>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</si>
  <si>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</si>
  <si>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Grafik Indikator KPI Produksi – W30 sampai W53</t>
  </si>
  <si>
    <t>Pencapaian aktual dan target per kelompok minggu, mengikuti data input KPI produksi 2026.</t>
  </si>
  <si>
    <t>Indikator</t>
  </si>
  <si>
    <t>Ringkasan Pencapaian Mingguan W30–W53</t>
  </si>
  <si>
    <t>Kalkulator UA Berdasarkan Trip per Hari dan PA</t>
  </si>
  <si>
    <t>Ubah hanya sel berwarna kuning. Nilai UA dihitung dari PA, waktu efektif, dan pencapaian trip.</t>
  </si>
  <si>
    <t>Input</t>
  </si>
  <si>
    <t>Satuan / Keterangan</t>
  </si>
  <si>
    <t>Waktu kalender</t>
  </si>
  <si>
    <t>jam per hari</t>
  </si>
  <si>
    <t>Planned delay</t>
  </si>
  <si>
    <t>jam per hari (istirahat, refuel, change shift, cooling tyre)</t>
  </si>
  <si>
    <t>masukkan sebagai persentase</t>
  </si>
  <si>
    <t>Target trip per hari</t>
  </si>
  <si>
    <t>trip</t>
  </si>
  <si>
    <t>Trip aktual per hari</t>
  </si>
  <si>
    <t>Hasil Perhitungan</t>
  </si>
  <si>
    <t>Rumus</t>
  </si>
  <si>
    <t>UA potensial</t>
  </si>
  <si>
    <t>(Waktu kalender − planned delay) ÷ waktu kalender</t>
  </si>
  <si>
    <t>Pencapaian trip</t>
  </si>
  <si>
    <t>Trip aktual ÷ target trip</t>
  </si>
  <si>
    <t>Waktu kerja ekuivalen</t>
  </si>
  <si>
    <t>Waktu efektif × pencapaian trip</t>
  </si>
  <si>
    <t>Lost time operasional</t>
  </si>
  <si>
    <t>Waktu efektif − waktu kerja ekuivalen</t>
  </si>
  <si>
    <t>UA aktual</t>
  </si>
  <si>
    <t>PA × UA potensial × pencapaian trip</t>
  </si>
  <si>
    <t>Selisih terhadap UA potensial</t>
  </si>
  <si>
    <t>UA potensial − UA aktual</t>
  </si>
  <si>
    <t>Contoh dokumen: PA 100%, target 3 trip, aktual 2,8 trip menghasilkan UA aktual 84,3%.</t>
  </si>
  <si>
    <t>Catatan</t>
  </si>
  <si>
    <t>Rumus UA kalender</t>
  </si>
  <si>
    <t>= PA × ((Waktu Kalender − Planned Delay) ÷ Waktu Kalender) × (Trip Aktual ÷ Target Trip)</t>
  </si>
  <si>
    <t>Penggunaan</t>
  </si>
  <si>
    <t>Bila PA 95%, masukkan 95% pada sel input PA. Rumus otomatis menyesuaikan UA.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</si>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</sst>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#\ \,##0"/>
    <numFmt numFmtId="167" formatCode="mmm"/>
    <numFmt numFmtId="168" formatCode="0.00\ &quot;jam&quot;"/>
  </numFmts>
  <fonts count="17" x14ac:knownFonts="1">
    <font>
      <sz val="11"/>
      <color theme="1"/>
      <name val="Aptos Narrow"/>
      <family val="2"/>
      <scheme val="minor"/>
    </font>
    <font>
      <b/>
      <sz val="18"/>
      <color rgb="FFFFFFFF"/>
      <name val="Arial"/>
      <family val="2"/>
    </font>
    <font>
      <sz val="10"/>
      <color rgb="FF28465A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5"/>
      <color rgb="FF0F4C68"/>
      <name val="Aptos Narrow"/>
      <family val="2"/>
      <scheme val="minor"/>
    </font>
    <font>
      <i/>
      <sz val="9"/>
      <color rgb="FF5B6B7A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1F2937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10"/>
      <color rgb="FF1F2937"/>
      <name val="Aptos Narrow"/>
      <family val="2"/>
      <scheme val="minor"/>
    </font>
    <font>
      <i/>
      <sz val="10"/>
      <color rgb="FF1F2937"/>
      <name val="Aptos Narrow"/>
      <family val="2"/>
      <scheme val="minor"/>
    </font>
    <font>
      <b/>
      <sz val="15"/>
      <color rgb="FFFFFFFF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B3954"/>
      </patternFill>
    </fill>
    <fill>
      <patternFill patternType="solid">
        <fgColor rgb="FFDCEAF1"/>
      </patternFill>
    </fill>
    <fill>
      <patternFill patternType="solid">
        <fgColor rgb="FF0F766E"/>
      </patternFill>
    </fill>
    <fill>
      <patternFill patternType="solid">
        <fgColor rgb="FFFFFBEA"/>
      </patternFill>
    </fill>
    <fill>
      <patternFill patternType="solid">
        <fgColor rgb="FF0F4C68"/>
      </patternFill>
    </fill>
    <fill>
      <patternFill patternType="solid">
        <fgColor rgb="FFEAF3F8"/>
      </patternFill>
    </fill>
    <fill>
      <patternFill patternType="solid">
        <fgColor rgb="FF087F78"/>
      </patternFill>
    </fill>
    <fill>
      <patternFill patternType="solid">
        <fgColor rgb="FF0F4C68"/>
      </patternFill>
    </fill>
    <fill>
      <patternFill patternType="solid">
        <fgColor rgb="FF087F78"/>
      </patternFill>
    </fill>
    <fill>
      <patternFill patternType="solid">
        <fgColor rgb="FF0F4C68"/>
      </patternFill>
    </fill>
    <fill>
      <patternFill patternType="solid">
        <fgColor rgb="FFFFF2CC"/>
      </patternFill>
    </fill>
    <fill>
      <patternFill patternType="solid">
        <fgColor rgb="FF087F78"/>
      </patternFill>
    </fill>
    <fill>
      <patternFill patternType="solid">
        <fgColor rgb="FFEAF3F8"/>
      </patternFill>
    </fill>
    <fill>
      <patternFill patternType="solid">
        <fgColor rgb="FFE2F0D9"/>
      </patternFill>
    </fill>
  </fills>
  <borders count="20">
    <border>
      <left/>
      <right/>
      <top/>
      <bottom/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 style="thin">
        <color rgb="FFE2E8F0"/>
      </top>
      <bottom/>
      <diagonal/>
    </border>
    <border>
      <left/>
      <right/>
      <top/>
      <bottom style="thin">
        <color rgb="FF0F4C68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/>
      <right/>
      <top style="thin">
        <color rgb="FFB7C9D6"/>
      </top>
      <bottom/>
      <diagonal/>
    </border>
    <border>
      <left/>
      <right/>
      <top/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109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/>
    </xf>
    <xf numFmtId="15" fontId="0" fillId="0" borderId="0" xfId="0" applyNumberFormat="1"/>
    <xf numFmtId="164" fontId="4" fillId="5" borderId="1" xfId="0" applyNumberFormat="1" applyFont="1" applyFill="1" applyBorder="1"/>
    <xf numFmtId="164" fontId="4" fillId="5" borderId="2" xfId="0" applyNumberFormat="1" applyFont="1" applyFill="1" applyBorder="1"/>
    <xf numFmtId="165" fontId="4" fillId="5" borderId="2" xfId="0" applyNumberFormat="1" applyFont="1" applyFill="1" applyBorder="1"/>
    <xf numFmtId="2" fontId="4" fillId="5" borderId="2" xfId="0" applyNumberFormat="1" applyFont="1" applyFill="1" applyBorder="1"/>
    <xf numFmtId="1" fontId="4" fillId="5" borderId="2" xfId="0" applyNumberFormat="1" applyFont="1" applyFill="1" applyBorder="1"/>
    <xf numFmtId="166" fontId="4" fillId="5" borderId="2" xfId="0" applyNumberFormat="1" applyFont="1" applyFill="1" applyBorder="1"/>
    <xf numFmtId="0" fontId="4" fillId="5" borderId="3" xfId="0" applyFont="1" applyFill="1" applyBorder="1"/>
    <xf numFmtId="164" fontId="4" fillId="5" borderId="4" xfId="0" applyNumberFormat="1" applyFont="1" applyFill="1" applyBorder="1"/>
    <xf numFmtId="164" fontId="4" fillId="5" borderId="5" xfId="0" applyNumberFormat="1" applyFont="1" applyFill="1" applyBorder="1"/>
    <xf numFmtId="165" fontId="4" fillId="5" borderId="5" xfId="0" applyNumberFormat="1" applyFont="1" applyFill="1" applyBorder="1"/>
    <xf numFmtId="2" fontId="4" fillId="5" borderId="5" xfId="0" applyNumberFormat="1" applyFont="1" applyFill="1" applyBorder="1"/>
    <xf numFmtId="1" fontId="4" fillId="5" borderId="5" xfId="0" applyNumberFormat="1" applyFont="1" applyFill="1" applyBorder="1"/>
    <xf numFmtId="166" fontId="4" fillId="5" borderId="5" xfId="0" applyNumberFormat="1" applyFont="1" applyFill="1" applyBorder="1"/>
    <xf numFmtId="0" fontId="4" fillId="5" borderId="6" xfId="0" applyFont="1" applyFill="1" applyBorder="1"/>
    <xf numFmtId="165" fontId="0" fillId="0" borderId="0" xfId="0" applyNumberFormat="1"/>
    <xf numFmtId="2" fontId="0" fillId="0" borderId="0" xfId="0" applyNumberFormat="1"/>
    <xf numFmtId="164" fontId="4" fillId="5" borderId="7" xfId="0" applyNumberFormat="1" applyFont="1" applyFill="1" applyBorder="1"/>
    <xf numFmtId="164" fontId="4" fillId="5" borderId="8" xfId="0" applyNumberFormat="1" applyFont="1" applyFill="1" applyBorder="1"/>
    <xf numFmtId="165" fontId="4" fillId="5" borderId="8" xfId="0" applyNumberFormat="1" applyFont="1" applyFill="1" applyBorder="1"/>
    <xf numFmtId="2" fontId="4" fillId="5" borderId="8" xfId="0" applyNumberFormat="1" applyFont="1" applyFill="1" applyBorder="1"/>
    <xf numFmtId="1" fontId="4" fillId="5" borderId="8" xfId="0" applyNumberFormat="1" applyFont="1" applyFill="1" applyBorder="1"/>
    <xf numFmtId="166" fontId="4" fillId="5" borderId="8" xfId="0" applyNumberFormat="1" applyFont="1" applyFill="1" applyBorder="1"/>
    <xf numFmtId="0" fontId="4" fillId="5" borderId="9" xfId="0" applyFont="1" applyFill="1" applyBorder="1"/>
    <xf numFmtId="0" fontId="0" fillId="0" borderId="10" xfId="0" applyBorder="1"/>
    <xf numFmtId="0" fontId="8" fillId="0" borderId="11" xfId="0" applyFont="1" applyBorder="1"/>
    <xf numFmtId="0" fontId="8" fillId="0" borderId="13" xfId="0" applyFont="1" applyBorder="1"/>
    <xf numFmtId="0" fontId="8" fillId="0" borderId="15" xfId="0" applyFont="1" applyBorder="1"/>
    <xf numFmtId="0" fontId="8" fillId="0" borderId="11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7" borderId="15" xfId="0" applyFont="1" applyFill="1" applyBorder="1" applyAlignment="1">
      <alignment vertical="center"/>
    </xf>
    <xf numFmtId="3" fontId="0" fillId="0" borderId="0" xfId="0" applyNumberFormat="1"/>
    <xf numFmtId="3" fontId="0" fillId="0" borderId="14" xfId="0" applyNumberFormat="1" applyBorder="1"/>
    <xf numFmtId="0" fontId="10" fillId="6" borderId="0" xfId="0" applyFont="1" applyFill="1"/>
    <xf numFmtId="0" fontId="11" fillId="0" borderId="0" xfId="0" applyFont="1"/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64" fontId="11" fillId="0" borderId="0" xfId="0" applyNumberFormat="1" applyFont="1" applyAlignment="1">
      <alignment vertical="center"/>
    </xf>
    <xf numFmtId="164" fontId="11" fillId="0" borderId="18" xfId="0" applyNumberFormat="1" applyFont="1" applyBorder="1" applyAlignment="1">
      <alignment vertical="center"/>
    </xf>
    <xf numFmtId="4" fontId="11" fillId="0" borderId="0" xfId="0" applyNumberFormat="1" applyFont="1" applyAlignment="1">
      <alignment vertical="center"/>
    </xf>
    <xf numFmtId="4" fontId="11" fillId="0" borderId="18" xfId="0" applyNumberFormat="1" applyFont="1" applyBorder="1" applyAlignment="1">
      <alignment vertical="center"/>
    </xf>
    <xf numFmtId="3" fontId="11" fillId="0" borderId="0" xfId="0" applyNumberFormat="1" applyFont="1" applyAlignment="1">
      <alignment vertical="center"/>
    </xf>
    <xf numFmtId="3" fontId="11" fillId="0" borderId="18" xfId="0" applyNumberFormat="1" applyFont="1" applyBorder="1" applyAlignment="1">
      <alignment vertical="center"/>
    </xf>
    <xf numFmtId="3" fontId="11" fillId="0" borderId="14" xfId="0" applyNumberFormat="1" applyFont="1" applyBorder="1" applyAlignment="1">
      <alignment vertical="center"/>
    </xf>
    <xf numFmtId="3" fontId="11" fillId="0" borderId="16" xfId="0" applyNumberFormat="1" applyFont="1" applyBorder="1" applyAlignment="1">
      <alignment vertical="center"/>
    </xf>
    <xf numFmtId="0" fontId="10" fillId="6" borderId="0" xfId="0" applyFont="1" applyFill="1" applyAlignment="1">
      <alignment horizontal="center"/>
    </xf>
    <xf numFmtId="0" fontId="11" fillId="0" borderId="10" xfId="0" applyFont="1" applyBorder="1"/>
    <xf numFmtId="164" fontId="11" fillId="0" borderId="12" xfId="0" applyNumberFormat="1" applyFont="1" applyBorder="1" applyAlignment="1">
      <alignment vertical="center"/>
    </xf>
    <xf numFmtId="167" fontId="11" fillId="0" borderId="11" xfId="0" applyNumberFormat="1" applyFont="1" applyBorder="1"/>
    <xf numFmtId="3" fontId="11" fillId="0" borderId="12" xfId="0" applyNumberFormat="1" applyFont="1" applyBorder="1"/>
    <xf numFmtId="164" fontId="11" fillId="0" borderId="14" xfId="0" applyNumberFormat="1" applyFont="1" applyBorder="1" applyAlignment="1">
      <alignment vertical="center"/>
    </xf>
    <xf numFmtId="167" fontId="11" fillId="0" borderId="13" xfId="0" applyNumberFormat="1" applyFont="1" applyBorder="1"/>
    <xf numFmtId="3" fontId="11" fillId="0" borderId="14" xfId="0" applyNumberFormat="1" applyFont="1" applyBorder="1"/>
    <xf numFmtId="4" fontId="11" fillId="0" borderId="14" xfId="0" applyNumberFormat="1" applyFont="1" applyBorder="1" applyAlignment="1">
      <alignment vertical="center"/>
    </xf>
    <xf numFmtId="167" fontId="11" fillId="0" borderId="15" xfId="0" applyNumberFormat="1" applyFont="1" applyBorder="1"/>
    <xf numFmtId="3" fontId="11" fillId="0" borderId="16" xfId="0" applyNumberFormat="1" applyFont="1" applyBorder="1"/>
    <xf numFmtId="0" fontId="11" fillId="7" borderId="16" xfId="0" applyFont="1" applyFill="1" applyBorder="1" applyAlignment="1">
      <alignment vertical="center"/>
    </xf>
    <xf numFmtId="164" fontId="0" fillId="0" borderId="12" xfId="0" applyNumberFormat="1" applyBorder="1"/>
    <xf numFmtId="164" fontId="0" fillId="0" borderId="14" xfId="0" applyNumberFormat="1" applyBorder="1"/>
    <xf numFmtId="4" fontId="0" fillId="0" borderId="14" xfId="0" applyNumberFormat="1" applyBorder="1"/>
    <xf numFmtId="4" fontId="0" fillId="0" borderId="16" xfId="0" applyNumberFormat="1" applyBorder="1"/>
    <xf numFmtId="0" fontId="11" fillId="0" borderId="13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164" fontId="11" fillId="0" borderId="0" xfId="0" applyNumberFormat="1" applyFont="1"/>
    <xf numFmtId="164" fontId="11" fillId="0" borderId="18" xfId="0" applyNumberFormat="1" applyFont="1" applyBorder="1"/>
    <xf numFmtId="4" fontId="11" fillId="0" borderId="0" xfId="0" applyNumberFormat="1" applyFont="1"/>
    <xf numFmtId="4" fontId="11" fillId="0" borderId="18" xfId="0" applyNumberFormat="1" applyFont="1" applyBorder="1"/>
    <xf numFmtId="3" fontId="11" fillId="0" borderId="0" xfId="0" applyNumberFormat="1" applyFont="1"/>
    <xf numFmtId="3" fontId="11" fillId="0" borderId="18" xfId="0" applyNumberFormat="1" applyFont="1" applyBorder="1"/>
    <xf numFmtId="0" fontId="7" fillId="9" borderId="0" xfId="0" applyFont="1" applyFill="1" applyAlignment="1">
      <alignment horizontal="center"/>
    </xf>
    <xf numFmtId="0" fontId="10" fillId="9" borderId="0" xfId="0" applyFont="1" applyFill="1"/>
    <xf numFmtId="0" fontId="10" fillId="9" borderId="11" xfId="0" applyFont="1" applyFill="1" applyBorder="1" applyAlignment="1">
      <alignment horizontal="center" vertical="center" wrapText="1"/>
    </xf>
    <xf numFmtId="0" fontId="10" fillId="9" borderId="17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 wrapText="1"/>
    </xf>
    <xf numFmtId="0" fontId="7" fillId="11" borderId="19" xfId="0" applyFont="1" applyFill="1" applyBorder="1" applyAlignment="1">
      <alignment horizontal="center"/>
    </xf>
    <xf numFmtId="0" fontId="8" fillId="0" borderId="19" xfId="0" applyFont="1" applyBorder="1"/>
    <xf numFmtId="0" fontId="0" fillId="0" borderId="19" xfId="0" applyBorder="1"/>
    <xf numFmtId="2" fontId="0" fillId="12" borderId="19" xfId="0" applyNumberFormat="1" applyFill="1" applyBorder="1"/>
    <xf numFmtId="164" fontId="0" fillId="12" borderId="19" xfId="0" applyNumberFormat="1" applyFill="1" applyBorder="1"/>
    <xf numFmtId="165" fontId="0" fillId="12" borderId="19" xfId="0" applyNumberFormat="1" applyFill="1" applyBorder="1"/>
    <xf numFmtId="0" fontId="7" fillId="13" borderId="19" xfId="0" applyFont="1" applyFill="1" applyBorder="1" applyAlignment="1">
      <alignment horizontal="center"/>
    </xf>
    <xf numFmtId="164" fontId="0" fillId="14" borderId="19" xfId="0" applyNumberFormat="1" applyFill="1" applyBorder="1"/>
    <xf numFmtId="168" fontId="0" fillId="14" borderId="19" xfId="0" applyNumberFormat="1" applyFill="1" applyBorder="1"/>
    <xf numFmtId="0" fontId="6" fillId="0" borderId="19" xfId="0" applyFont="1" applyBorder="1"/>
    <xf numFmtId="0" fontId="14" fillId="6" borderId="11" xfId="0" applyFont="1" applyFill="1" applyBorder="1" applyAlignment="1">
      <alignment horizontal="center" vertical="center" wrapText="1"/>
    </xf>
    <xf numFmtId="0" fontId="14" fillId="6" borderId="17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/>
    </xf>
    <xf numFmtId="0" fontId="15" fillId="0" borderId="0" xfId="0" applyFont="1"/>
    <xf numFmtId="2" fontId="0" fillId="0" borderId="0" xfId="0" applyNumberFormat="1" applyAlignment="1">
      <alignment horizontal="left" indent="1"/>
    </xf>
    <xf numFmtId="0" fontId="1" fillId="2" borderId="0" xfId="0" applyFont="1" applyFill="1"/>
    <xf numFmtId="0" fontId="2" fillId="3" borderId="0" xfId="0" applyFont="1" applyFill="1"/>
    <xf numFmtId="0" fontId="8" fillId="0" borderId="0" xfId="0" applyFont="1" applyAlignment="1">
      <alignment vertical="center"/>
    </xf>
    <xf numFmtId="0" fontId="12" fillId="0" borderId="0" xfId="0" applyFont="1"/>
    <xf numFmtId="0" fontId="14" fillId="8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9" fillId="10" borderId="0" xfId="0" applyFont="1" applyFill="1" applyAlignment="1">
      <alignment vertical="center"/>
    </xf>
    <xf numFmtId="0" fontId="11" fillId="0" borderId="19" xfId="0" applyFont="1" applyBorder="1" applyAlignment="1">
      <alignment vertical="center" wrapText="1"/>
    </xf>
    <xf numFmtId="0" fontId="13" fillId="11" borderId="0" xfId="0" applyFont="1" applyFill="1" applyAlignment="1">
      <alignment vertical="center"/>
    </xf>
    <xf numFmtId="0" fontId="8" fillId="15" borderId="0" xfId="0" applyFont="1" applyFill="1" applyAlignment="1">
      <alignment vertical="center"/>
    </xf>
    <xf numFmtId="0" fontId="7" fillId="11" borderId="0" xfId="0" applyFont="1" applyFill="1"/>
    <xf numFmtId="0" fontId="0" fillId="0" borderId="0" xfId="0"/>
    <xf numFmtId="9" fontId="0" fillId="0" borderId="0" xfId="1" applyFont="1"/>
    <xf numFmtId="1" fontId="0" fillId="0" borderId="0" xfId="0" applyNumberFormat="1"/>
  </cellXfs>
  <cellStyles count="2">
    <cellStyle name="Normal" xfId="0" builtinId="0"/>
    <cellStyle name="Percent" xfId="1" builtinId="5"/>
  </cellStyles>
  <dxfs count="1">
    <dxf>
      <font>
        <color rgb="FF9CA3A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/>
              <a:t>PA Mingguan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PA Actual</c:v>
          </c:tx>
          <c:spPr>
            <a:ln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'Grafik KPI 2026'!$P$71:$P$123</c:f>
              <c:strCache>
                <c:ptCount val="53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  <c:pt idx="52">
                  <c:v>W53</c:v>
                </c:pt>
              </c:strCache>
            </c:strRef>
          </c:cat>
          <c:val>
            <c:numRef>
              <c:f>'Grafik KPI 2026'!$Q$71:$Q$123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0.98084000000000005</c:v>
                </c:pt>
                <c:pt idx="31">
                  <c:v>0.97647142857142855</c:v>
                </c:pt>
                <c:pt idx="32">
                  <c:v>0.97</c:v>
                </c:pt>
                <c:pt idx="33">
                  <c:v>0</c:v>
                </c:pt>
                <c:pt idx="34">
                  <c:v>0.97830000000000017</c:v>
                </c:pt>
                <c:pt idx="35">
                  <c:v>0.97714285714285709</c:v>
                </c:pt>
                <c:pt idx="36">
                  <c:v>0.99</c:v>
                </c:pt>
                <c:pt idx="37">
                  <c:v>0.97833333333333317</c:v>
                </c:pt>
                <c:pt idx="38">
                  <c:v>0.98457142857142876</c:v>
                </c:pt>
                <c:pt idx="39">
                  <c:v>0.97099999999999986</c:v>
                </c:pt>
                <c:pt idx="40">
                  <c:v>0.96234999999999993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98-46E7-B08B-D9503E14728A}"/>
            </c:ext>
          </c:extLst>
        </c:ser>
        <c:ser>
          <c:idx val="1"/>
          <c:order val="1"/>
          <c:tx>
            <c:v>PA Target</c:v>
          </c:tx>
          <c:spPr>
            <a:ln w="19050">
              <a:solidFill>
                <a:srgbClr val="E67E22"/>
              </a:solidFill>
              <a:prstDash val="dash"/>
            </a:ln>
          </c:spPr>
          <c:marker>
            <c:symbol val="none"/>
          </c:marker>
          <c:cat>
            <c:strRef>
              <c:f>'Grafik KPI 2026'!$P$71:$P$123</c:f>
              <c:strCache>
                <c:ptCount val="53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  <c:pt idx="52">
                  <c:v>W53</c:v>
                </c:pt>
              </c:strCache>
            </c:strRef>
          </c:cat>
          <c:val>
            <c:numRef>
              <c:f>'Grafik KPI 2026'!$R$71:$R$123</c:f>
              <c:numCache>
                <c:formatCode>General</c:formatCode>
                <c:ptCount val="53"/>
                <c:pt idx="0">
                  <c:v>0.93</c:v>
                </c:pt>
                <c:pt idx="1">
                  <c:v>0.93</c:v>
                </c:pt>
                <c:pt idx="2">
                  <c:v>0.93</c:v>
                </c:pt>
                <c:pt idx="3">
                  <c:v>0.93</c:v>
                </c:pt>
                <c:pt idx="4">
                  <c:v>0.93</c:v>
                </c:pt>
                <c:pt idx="5">
                  <c:v>0.93</c:v>
                </c:pt>
                <c:pt idx="6">
                  <c:v>0.93</c:v>
                </c:pt>
                <c:pt idx="7">
                  <c:v>0.93</c:v>
                </c:pt>
                <c:pt idx="8">
                  <c:v>0.93</c:v>
                </c:pt>
                <c:pt idx="9">
                  <c:v>0.93</c:v>
                </c:pt>
                <c:pt idx="10">
                  <c:v>0.93</c:v>
                </c:pt>
                <c:pt idx="11">
                  <c:v>0.93</c:v>
                </c:pt>
                <c:pt idx="12">
                  <c:v>0.93</c:v>
                </c:pt>
                <c:pt idx="13">
                  <c:v>0.93</c:v>
                </c:pt>
                <c:pt idx="14">
                  <c:v>0.93</c:v>
                </c:pt>
                <c:pt idx="15">
                  <c:v>0.93</c:v>
                </c:pt>
                <c:pt idx="16">
                  <c:v>0.93</c:v>
                </c:pt>
                <c:pt idx="17">
                  <c:v>0.93</c:v>
                </c:pt>
                <c:pt idx="18">
                  <c:v>0.93</c:v>
                </c:pt>
                <c:pt idx="19">
                  <c:v>0.93</c:v>
                </c:pt>
                <c:pt idx="20">
                  <c:v>0.93</c:v>
                </c:pt>
                <c:pt idx="21">
                  <c:v>0.93</c:v>
                </c:pt>
                <c:pt idx="22">
                  <c:v>0.93</c:v>
                </c:pt>
                <c:pt idx="23">
                  <c:v>0.93</c:v>
                </c:pt>
                <c:pt idx="24">
                  <c:v>0.93</c:v>
                </c:pt>
                <c:pt idx="25">
                  <c:v>0.93</c:v>
                </c:pt>
                <c:pt idx="26">
                  <c:v>0.93</c:v>
                </c:pt>
                <c:pt idx="27">
                  <c:v>0.93</c:v>
                </c:pt>
                <c:pt idx="28">
                  <c:v>0.93</c:v>
                </c:pt>
                <c:pt idx="29">
                  <c:v>0.93</c:v>
                </c:pt>
                <c:pt idx="30">
                  <c:v>0.93</c:v>
                </c:pt>
                <c:pt idx="31">
                  <c:v>0.93</c:v>
                </c:pt>
                <c:pt idx="32">
                  <c:v>0.93</c:v>
                </c:pt>
                <c:pt idx="33">
                  <c:v>0.93</c:v>
                </c:pt>
                <c:pt idx="34">
                  <c:v>0.93</c:v>
                </c:pt>
                <c:pt idx="35">
                  <c:v>0.93</c:v>
                </c:pt>
                <c:pt idx="36">
                  <c:v>0.93</c:v>
                </c:pt>
                <c:pt idx="37">
                  <c:v>0.93</c:v>
                </c:pt>
                <c:pt idx="38">
                  <c:v>0.93</c:v>
                </c:pt>
                <c:pt idx="39">
                  <c:v>0.93</c:v>
                </c:pt>
                <c:pt idx="40">
                  <c:v>0.93</c:v>
                </c:pt>
                <c:pt idx="41">
                  <c:v>0.93</c:v>
                </c:pt>
                <c:pt idx="42">
                  <c:v>0.93</c:v>
                </c:pt>
                <c:pt idx="43">
                  <c:v>0.93</c:v>
                </c:pt>
                <c:pt idx="44">
                  <c:v>0.93</c:v>
                </c:pt>
                <c:pt idx="45">
                  <c:v>0.93</c:v>
                </c:pt>
                <c:pt idx="46">
                  <c:v>0.93</c:v>
                </c:pt>
                <c:pt idx="47">
                  <c:v>0.93</c:v>
                </c:pt>
                <c:pt idx="48">
                  <c:v>0.93</c:v>
                </c:pt>
                <c:pt idx="49">
                  <c:v>0.93</c:v>
                </c:pt>
                <c:pt idx="50">
                  <c:v>0.93</c:v>
                </c:pt>
                <c:pt idx="51">
                  <c:v>0.93</c:v>
                </c:pt>
                <c:pt idx="52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98-46E7-B08B-D9503E147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/>
              <a:t>UA Mingguan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UA Actual</c:v>
          </c:tx>
          <c:spPr>
            <a:ln w="19050">
              <a:solidFill>
                <a:srgbClr val="1B9E77"/>
              </a:solidFill>
              <a:prstDash val="solid"/>
            </a:ln>
          </c:spPr>
          <c:marker>
            <c:symbol val="none"/>
          </c:marker>
          <c:cat>
            <c:strRef>
              <c:f>'Grafik KPI 2026'!$T$71:$T$123</c:f>
              <c:strCache>
                <c:ptCount val="53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  <c:pt idx="52">
                  <c:v>W53</c:v>
                </c:pt>
              </c:strCache>
            </c:strRef>
          </c:cat>
          <c:val>
            <c:numRef>
              <c:f>'Grafik KPI 2026'!$U$71:$U$123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0.49427333722563283</c:v>
                </c:pt>
                <c:pt idx="31">
                  <c:v>0.51370786013774805</c:v>
                </c:pt>
                <c:pt idx="32">
                  <c:v>0.62967531848127778</c:v>
                </c:pt>
                <c:pt idx="33">
                  <c:v>0</c:v>
                </c:pt>
                <c:pt idx="34">
                  <c:v>0.55890363362791362</c:v>
                </c:pt>
                <c:pt idx="35">
                  <c:v>0.53618580179446373</c:v>
                </c:pt>
                <c:pt idx="36">
                  <c:v>0.40697458729237151</c:v>
                </c:pt>
                <c:pt idx="37">
                  <c:v>0.47260822320348317</c:v>
                </c:pt>
                <c:pt idx="38">
                  <c:v>0.77337827856043795</c:v>
                </c:pt>
                <c:pt idx="39">
                  <c:v>0.81661528666582472</c:v>
                </c:pt>
                <c:pt idx="40">
                  <c:v>0.8382944241368856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B9-4B45-8E69-93DC9C597A0E}"/>
            </c:ext>
          </c:extLst>
        </c:ser>
        <c:ser>
          <c:idx val="1"/>
          <c:order val="1"/>
          <c:tx>
            <c:v>UA Target</c:v>
          </c:tx>
          <c:spPr>
            <a:ln w="19050">
              <a:solidFill>
                <a:srgbClr val="E67E22"/>
              </a:solidFill>
              <a:prstDash val="dash"/>
            </a:ln>
          </c:spPr>
          <c:marker>
            <c:symbol val="none"/>
          </c:marker>
          <c:cat>
            <c:strRef>
              <c:f>'Grafik KPI 2026'!$T$71:$T$123</c:f>
              <c:strCache>
                <c:ptCount val="53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  <c:pt idx="52">
                  <c:v>W53</c:v>
                </c:pt>
              </c:strCache>
            </c:strRef>
          </c:cat>
          <c:val>
            <c:numRef>
              <c:f>'Grafik KPI 2026'!$V$71:$V$123</c:f>
              <c:numCache>
                <c:formatCode>General</c:formatCode>
                <c:ptCount val="53"/>
                <c:pt idx="0">
                  <c:v>0.88</c:v>
                </c:pt>
                <c:pt idx="1">
                  <c:v>0.88</c:v>
                </c:pt>
                <c:pt idx="2">
                  <c:v>0.88</c:v>
                </c:pt>
                <c:pt idx="3">
                  <c:v>0.88</c:v>
                </c:pt>
                <c:pt idx="4">
                  <c:v>0.88</c:v>
                </c:pt>
                <c:pt idx="5">
                  <c:v>0.88</c:v>
                </c:pt>
                <c:pt idx="6">
                  <c:v>0.88</c:v>
                </c:pt>
                <c:pt idx="7">
                  <c:v>0.88</c:v>
                </c:pt>
                <c:pt idx="8">
                  <c:v>0.88</c:v>
                </c:pt>
                <c:pt idx="9">
                  <c:v>0.88</c:v>
                </c:pt>
                <c:pt idx="10">
                  <c:v>0.88</c:v>
                </c:pt>
                <c:pt idx="11">
                  <c:v>0.88</c:v>
                </c:pt>
                <c:pt idx="12">
                  <c:v>0.88</c:v>
                </c:pt>
                <c:pt idx="13">
                  <c:v>0.88</c:v>
                </c:pt>
                <c:pt idx="14">
                  <c:v>0.88</c:v>
                </c:pt>
                <c:pt idx="15">
                  <c:v>0.88</c:v>
                </c:pt>
                <c:pt idx="16">
                  <c:v>0.88</c:v>
                </c:pt>
                <c:pt idx="17">
                  <c:v>0.88</c:v>
                </c:pt>
                <c:pt idx="18">
                  <c:v>0.88</c:v>
                </c:pt>
                <c:pt idx="19">
                  <c:v>0.88</c:v>
                </c:pt>
                <c:pt idx="20">
                  <c:v>0.88</c:v>
                </c:pt>
                <c:pt idx="21">
                  <c:v>0.88</c:v>
                </c:pt>
                <c:pt idx="22">
                  <c:v>0.88</c:v>
                </c:pt>
                <c:pt idx="23">
                  <c:v>0.88</c:v>
                </c:pt>
                <c:pt idx="24">
                  <c:v>0.88</c:v>
                </c:pt>
                <c:pt idx="25">
                  <c:v>0.88</c:v>
                </c:pt>
                <c:pt idx="26">
                  <c:v>0.88</c:v>
                </c:pt>
                <c:pt idx="27">
                  <c:v>0.88</c:v>
                </c:pt>
                <c:pt idx="28">
                  <c:v>0.88</c:v>
                </c:pt>
                <c:pt idx="29">
                  <c:v>0.88</c:v>
                </c:pt>
                <c:pt idx="30">
                  <c:v>0.88</c:v>
                </c:pt>
                <c:pt idx="31">
                  <c:v>0.88</c:v>
                </c:pt>
                <c:pt idx="32">
                  <c:v>0.88</c:v>
                </c:pt>
                <c:pt idx="33">
                  <c:v>0.88</c:v>
                </c:pt>
                <c:pt idx="34">
                  <c:v>0.88</c:v>
                </c:pt>
                <c:pt idx="35">
                  <c:v>0.88</c:v>
                </c:pt>
                <c:pt idx="36">
                  <c:v>0.88</c:v>
                </c:pt>
                <c:pt idx="37">
                  <c:v>0.88</c:v>
                </c:pt>
                <c:pt idx="38">
                  <c:v>0.88</c:v>
                </c:pt>
                <c:pt idx="39">
                  <c:v>0.88</c:v>
                </c:pt>
                <c:pt idx="40">
                  <c:v>0.88</c:v>
                </c:pt>
                <c:pt idx="41">
                  <c:v>0.88</c:v>
                </c:pt>
                <c:pt idx="42">
                  <c:v>0.88</c:v>
                </c:pt>
                <c:pt idx="43">
                  <c:v>0.88</c:v>
                </c:pt>
                <c:pt idx="44">
                  <c:v>0.88</c:v>
                </c:pt>
                <c:pt idx="45">
                  <c:v>0.88</c:v>
                </c:pt>
                <c:pt idx="46">
                  <c:v>0.88</c:v>
                </c:pt>
                <c:pt idx="47">
                  <c:v>0.88</c:v>
                </c:pt>
                <c:pt idx="48">
                  <c:v>0.88</c:v>
                </c:pt>
                <c:pt idx="49">
                  <c:v>0.88</c:v>
                </c:pt>
                <c:pt idx="50">
                  <c:v>0.88</c:v>
                </c:pt>
                <c:pt idx="51">
                  <c:v>0.88</c:v>
                </c:pt>
                <c:pt idx="52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B9-4B45-8E69-93DC9C597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/>
              <a:t>Payload Mingguan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Payload Actual</c:v>
          </c:tx>
          <c:spPr>
            <a:ln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'Grafik KPI 2026'!$X$71:$X$123</c:f>
              <c:strCache>
                <c:ptCount val="53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  <c:pt idx="52">
                  <c:v>W53</c:v>
                </c:pt>
              </c:strCache>
            </c:strRef>
          </c:cat>
          <c:val>
            <c:numRef>
              <c:f>'Grafik KPI 2026'!$Y$71:$Y$123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207.15492540792542</c:v>
                </c:pt>
                <c:pt idx="31">
                  <c:v>201.82161755491668</c:v>
                </c:pt>
                <c:pt idx="32">
                  <c:v>205.59217857142858</c:v>
                </c:pt>
                <c:pt idx="33">
                  <c:v>0</c:v>
                </c:pt>
                <c:pt idx="34">
                  <c:v>205.70297735160199</c:v>
                </c:pt>
                <c:pt idx="35">
                  <c:v>206.13746197190244</c:v>
                </c:pt>
                <c:pt idx="36">
                  <c:v>209.12289002557543</c:v>
                </c:pt>
                <c:pt idx="37">
                  <c:v>206.76634242091973</c:v>
                </c:pt>
                <c:pt idx="38">
                  <c:v>203.20997796449214</c:v>
                </c:pt>
                <c:pt idx="39">
                  <c:v>204.21473456768777</c:v>
                </c:pt>
                <c:pt idx="40">
                  <c:v>205.54365305685531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1A-4F2C-B9FB-C81BD85A9C31}"/>
            </c:ext>
          </c:extLst>
        </c:ser>
        <c:ser>
          <c:idx val="1"/>
          <c:order val="1"/>
          <c:tx>
            <c:v>Payload Target</c:v>
          </c:tx>
          <c:spPr>
            <a:ln w="19050">
              <a:solidFill>
                <a:srgbClr val="E67E22"/>
              </a:solidFill>
              <a:prstDash val="dash"/>
            </a:ln>
          </c:spPr>
          <c:marker>
            <c:symbol val="none"/>
          </c:marker>
          <c:cat>
            <c:strRef>
              <c:f>'Grafik KPI 2026'!$X$71:$X$123</c:f>
              <c:strCache>
                <c:ptCount val="53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  <c:pt idx="52">
                  <c:v>W53</c:v>
                </c:pt>
              </c:strCache>
            </c:strRef>
          </c:cat>
          <c:val>
            <c:numRef>
              <c:f>'Grafik KPI 2026'!$Z$71:$Z$123</c:f>
              <c:numCache>
                <c:formatCode>General</c:formatCode>
                <c:ptCount val="53"/>
                <c:pt idx="0">
                  <c:v>205</c:v>
                </c:pt>
                <c:pt idx="1">
                  <c:v>205</c:v>
                </c:pt>
                <c:pt idx="2">
                  <c:v>205</c:v>
                </c:pt>
                <c:pt idx="3">
                  <c:v>205</c:v>
                </c:pt>
                <c:pt idx="4">
                  <c:v>205</c:v>
                </c:pt>
                <c:pt idx="5">
                  <c:v>205</c:v>
                </c:pt>
                <c:pt idx="6">
                  <c:v>205</c:v>
                </c:pt>
                <c:pt idx="7">
                  <c:v>205</c:v>
                </c:pt>
                <c:pt idx="8">
                  <c:v>205</c:v>
                </c:pt>
                <c:pt idx="9">
                  <c:v>205</c:v>
                </c:pt>
                <c:pt idx="10">
                  <c:v>205</c:v>
                </c:pt>
                <c:pt idx="11">
                  <c:v>205</c:v>
                </c:pt>
                <c:pt idx="12">
                  <c:v>205</c:v>
                </c:pt>
                <c:pt idx="13">
                  <c:v>205</c:v>
                </c:pt>
                <c:pt idx="14">
                  <c:v>205</c:v>
                </c:pt>
                <c:pt idx="15">
                  <c:v>205</c:v>
                </c:pt>
                <c:pt idx="16">
                  <c:v>205</c:v>
                </c:pt>
                <c:pt idx="17">
                  <c:v>205</c:v>
                </c:pt>
                <c:pt idx="18">
                  <c:v>205</c:v>
                </c:pt>
                <c:pt idx="19">
                  <c:v>205</c:v>
                </c:pt>
                <c:pt idx="20">
                  <c:v>205</c:v>
                </c:pt>
                <c:pt idx="21">
                  <c:v>205</c:v>
                </c:pt>
                <c:pt idx="22">
                  <c:v>205</c:v>
                </c:pt>
                <c:pt idx="23">
                  <c:v>205</c:v>
                </c:pt>
                <c:pt idx="24">
                  <c:v>205</c:v>
                </c:pt>
                <c:pt idx="25">
                  <c:v>205</c:v>
                </c:pt>
                <c:pt idx="26">
                  <c:v>205</c:v>
                </c:pt>
                <c:pt idx="27">
                  <c:v>205</c:v>
                </c:pt>
                <c:pt idx="28">
                  <c:v>205</c:v>
                </c:pt>
                <c:pt idx="29">
                  <c:v>205</c:v>
                </c:pt>
                <c:pt idx="30">
                  <c:v>205</c:v>
                </c:pt>
                <c:pt idx="31">
                  <c:v>205</c:v>
                </c:pt>
                <c:pt idx="32">
                  <c:v>205</c:v>
                </c:pt>
                <c:pt idx="33">
                  <c:v>205</c:v>
                </c:pt>
                <c:pt idx="34">
                  <c:v>205</c:v>
                </c:pt>
                <c:pt idx="35">
                  <c:v>205</c:v>
                </c:pt>
                <c:pt idx="36">
                  <c:v>205</c:v>
                </c:pt>
                <c:pt idx="37">
                  <c:v>205</c:v>
                </c:pt>
                <c:pt idx="38">
                  <c:v>205</c:v>
                </c:pt>
                <c:pt idx="39">
                  <c:v>205</c:v>
                </c:pt>
                <c:pt idx="40">
                  <c:v>205</c:v>
                </c:pt>
                <c:pt idx="41">
                  <c:v>205</c:v>
                </c:pt>
                <c:pt idx="42">
                  <c:v>205</c:v>
                </c:pt>
                <c:pt idx="43">
                  <c:v>205</c:v>
                </c:pt>
                <c:pt idx="44">
                  <c:v>205</c:v>
                </c:pt>
                <c:pt idx="45">
                  <c:v>205</c:v>
                </c:pt>
                <c:pt idx="46">
                  <c:v>205</c:v>
                </c:pt>
                <c:pt idx="47">
                  <c:v>205</c:v>
                </c:pt>
                <c:pt idx="48">
                  <c:v>205</c:v>
                </c:pt>
                <c:pt idx="49">
                  <c:v>205</c:v>
                </c:pt>
                <c:pt idx="50">
                  <c:v>205</c:v>
                </c:pt>
                <c:pt idx="51">
                  <c:v>205</c:v>
                </c:pt>
                <c:pt idx="52">
                  <c:v>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1A-4F2C-B9FB-C81BD85A9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/>
              <a:t>Cycle Time Mingguan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Cycle Time Actual</c:v>
          </c:tx>
          <c:spPr>
            <a:ln w="19050">
              <a:solidFill>
                <a:srgbClr val="1B9E77"/>
              </a:solidFill>
              <a:prstDash val="solid"/>
            </a:ln>
          </c:spPr>
          <c:marker>
            <c:symbol val="none"/>
          </c:marker>
          <c:cat>
            <c:strRef>
              <c:f>'Grafik KPI 2026'!$AB$71:$AB$123</c:f>
              <c:strCache>
                <c:ptCount val="53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  <c:pt idx="52">
                  <c:v>W53</c:v>
                </c:pt>
              </c:strCache>
            </c:strRef>
          </c:cat>
          <c:val>
            <c:numRef>
              <c:f>'Grafik KPI 2026'!$AC$71:$AC$123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11.296762774658461</c:v>
                </c:pt>
                <c:pt idx="31">
                  <c:v>10.928521728364416</c:v>
                </c:pt>
                <c:pt idx="32">
                  <c:v>12.414765575847641</c:v>
                </c:pt>
                <c:pt idx="33">
                  <c:v>0</c:v>
                </c:pt>
                <c:pt idx="34">
                  <c:v>9.2756071465678609</c:v>
                </c:pt>
                <c:pt idx="35">
                  <c:v>8.8385557040527516</c:v>
                </c:pt>
                <c:pt idx="36">
                  <c:v>6.8638621490495773</c:v>
                </c:pt>
                <c:pt idx="37">
                  <c:v>9.3969817709951151</c:v>
                </c:pt>
                <c:pt idx="38">
                  <c:v>6.9223640978360068</c:v>
                </c:pt>
                <c:pt idx="39">
                  <c:v>8.2388707154797949</c:v>
                </c:pt>
                <c:pt idx="40">
                  <c:v>8.7175883830978389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29-44DF-BC72-F31E0007EBA2}"/>
            </c:ext>
          </c:extLst>
        </c:ser>
        <c:ser>
          <c:idx val="1"/>
          <c:order val="1"/>
          <c:tx>
            <c:v>Cycle Time Target</c:v>
          </c:tx>
          <c:spPr>
            <a:ln w="19050">
              <a:solidFill>
                <a:srgbClr val="E67E22"/>
              </a:solidFill>
              <a:prstDash val="dash"/>
            </a:ln>
          </c:spPr>
          <c:marker>
            <c:symbol val="none"/>
          </c:marker>
          <c:cat>
            <c:strRef>
              <c:f>'Grafik KPI 2026'!$AB$71:$AB$123</c:f>
              <c:strCache>
                <c:ptCount val="53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  <c:pt idx="52">
                  <c:v>W53</c:v>
                </c:pt>
              </c:strCache>
            </c:strRef>
          </c:cat>
          <c:val>
            <c:numRef>
              <c:f>'Grafik KPI 2026'!$AD$71:$AD$123</c:f>
              <c:numCache>
                <c:formatCode>General</c:formatCode>
                <c:ptCount val="53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7.5</c:v>
                </c:pt>
                <c:pt idx="14">
                  <c:v>7.5</c:v>
                </c:pt>
                <c:pt idx="15">
                  <c:v>7.5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  <c:pt idx="24">
                  <c:v>7.5</c:v>
                </c:pt>
                <c:pt idx="25">
                  <c:v>7.5</c:v>
                </c:pt>
                <c:pt idx="26">
                  <c:v>7.5</c:v>
                </c:pt>
                <c:pt idx="27">
                  <c:v>7.5</c:v>
                </c:pt>
                <c:pt idx="28">
                  <c:v>7.5</c:v>
                </c:pt>
                <c:pt idx="29">
                  <c:v>7.5</c:v>
                </c:pt>
                <c:pt idx="30">
                  <c:v>7.5</c:v>
                </c:pt>
                <c:pt idx="31">
                  <c:v>7.5</c:v>
                </c:pt>
                <c:pt idx="32">
                  <c:v>7.5</c:v>
                </c:pt>
                <c:pt idx="33">
                  <c:v>7.5</c:v>
                </c:pt>
                <c:pt idx="34">
                  <c:v>7.5</c:v>
                </c:pt>
                <c:pt idx="35">
                  <c:v>7.5</c:v>
                </c:pt>
                <c:pt idx="36">
                  <c:v>7.5</c:v>
                </c:pt>
                <c:pt idx="37">
                  <c:v>7.5</c:v>
                </c:pt>
                <c:pt idx="38">
                  <c:v>7.5</c:v>
                </c:pt>
                <c:pt idx="39">
                  <c:v>7.5</c:v>
                </c:pt>
                <c:pt idx="40">
                  <c:v>7.5</c:v>
                </c:pt>
                <c:pt idx="41">
                  <c:v>7.5</c:v>
                </c:pt>
                <c:pt idx="42">
                  <c:v>7.5</c:v>
                </c:pt>
                <c:pt idx="43">
                  <c:v>7.5</c:v>
                </c:pt>
                <c:pt idx="44">
                  <c:v>7.5</c:v>
                </c:pt>
                <c:pt idx="45">
                  <c:v>7.5</c:v>
                </c:pt>
                <c:pt idx="46">
                  <c:v>7.5</c:v>
                </c:pt>
                <c:pt idx="47">
                  <c:v>7.5</c:v>
                </c:pt>
                <c:pt idx="48">
                  <c:v>7.5</c:v>
                </c:pt>
                <c:pt idx="49">
                  <c:v>7.5</c:v>
                </c:pt>
                <c:pt idx="50">
                  <c:v>7.5</c:v>
                </c:pt>
                <c:pt idx="51">
                  <c:v>7.5</c:v>
                </c:pt>
                <c:pt idx="52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29-44DF-BC72-F31E0007E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/>
              <a:t>Fuel Ratio Mingguan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Fuel Ratio Actual</c:v>
          </c:tx>
          <c:spPr>
            <a:ln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'Grafik KPI 2026'!$AF$71:$AF$123</c:f>
              <c:strCache>
                <c:ptCount val="53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  <c:pt idx="52">
                  <c:v>W53</c:v>
                </c:pt>
              </c:strCache>
            </c:strRef>
          </c:cat>
          <c:val>
            <c:numRef>
              <c:f>'Grafik KPI 2026'!$AG$71:$AG$123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1.7917364976551728</c:v>
                </c:pt>
                <c:pt idx="31">
                  <c:v>1.7270515485236027</c:v>
                </c:pt>
                <c:pt idx="32">
                  <c:v>1.4745641016431528</c:v>
                </c:pt>
                <c:pt idx="33">
                  <c:v>0</c:v>
                </c:pt>
                <c:pt idx="34">
                  <c:v>1.7963769312270017</c:v>
                </c:pt>
                <c:pt idx="35">
                  <c:v>1.699270237102686</c:v>
                </c:pt>
                <c:pt idx="36">
                  <c:v>1.3639608222156512</c:v>
                </c:pt>
                <c:pt idx="37">
                  <c:v>1.7823835688877434</c:v>
                </c:pt>
                <c:pt idx="38">
                  <c:v>1.4626601158545267</c:v>
                </c:pt>
                <c:pt idx="39">
                  <c:v>1.564545954604839</c:v>
                </c:pt>
                <c:pt idx="40">
                  <c:v>1.5333967039873861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18-40E1-984F-9215869C6C50}"/>
            </c:ext>
          </c:extLst>
        </c:ser>
        <c:ser>
          <c:idx val="1"/>
          <c:order val="1"/>
          <c:tx>
            <c:v>Fuel Ratio Target</c:v>
          </c:tx>
          <c:spPr>
            <a:ln w="19050">
              <a:solidFill>
                <a:srgbClr val="E67E22"/>
              </a:solidFill>
              <a:prstDash val="dash"/>
            </a:ln>
          </c:spPr>
          <c:marker>
            <c:symbol val="none"/>
          </c:marker>
          <c:cat>
            <c:strRef>
              <c:f>'Grafik KPI 2026'!$AF$71:$AF$123</c:f>
              <c:strCache>
                <c:ptCount val="53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  <c:pt idx="52">
                  <c:v>W53</c:v>
                </c:pt>
              </c:strCache>
            </c:strRef>
          </c:cat>
          <c:val>
            <c:numRef>
              <c:f>'Grafik KPI 2026'!$AH$71:$AH$123</c:f>
              <c:numCache>
                <c:formatCode>General</c:formatCode>
                <c:ptCount val="53"/>
                <c:pt idx="0">
                  <c:v>1.55</c:v>
                </c:pt>
                <c:pt idx="1">
                  <c:v>1.55</c:v>
                </c:pt>
                <c:pt idx="2">
                  <c:v>1.55</c:v>
                </c:pt>
                <c:pt idx="3">
                  <c:v>1.55</c:v>
                </c:pt>
                <c:pt idx="4">
                  <c:v>1.55</c:v>
                </c:pt>
                <c:pt idx="5">
                  <c:v>1.55</c:v>
                </c:pt>
                <c:pt idx="6">
                  <c:v>1.55</c:v>
                </c:pt>
                <c:pt idx="7">
                  <c:v>1.55</c:v>
                </c:pt>
                <c:pt idx="8">
                  <c:v>1.55</c:v>
                </c:pt>
                <c:pt idx="9">
                  <c:v>1.55</c:v>
                </c:pt>
                <c:pt idx="10">
                  <c:v>1.55</c:v>
                </c:pt>
                <c:pt idx="11">
                  <c:v>1.55</c:v>
                </c:pt>
                <c:pt idx="12">
                  <c:v>1.55</c:v>
                </c:pt>
                <c:pt idx="13">
                  <c:v>1.55</c:v>
                </c:pt>
                <c:pt idx="14">
                  <c:v>1.55</c:v>
                </c:pt>
                <c:pt idx="15">
                  <c:v>1.55</c:v>
                </c:pt>
                <c:pt idx="16">
                  <c:v>1.55</c:v>
                </c:pt>
                <c:pt idx="17">
                  <c:v>1.55</c:v>
                </c:pt>
                <c:pt idx="18">
                  <c:v>1.55</c:v>
                </c:pt>
                <c:pt idx="19">
                  <c:v>1.55</c:v>
                </c:pt>
                <c:pt idx="20">
                  <c:v>1.55</c:v>
                </c:pt>
                <c:pt idx="21">
                  <c:v>1.55</c:v>
                </c:pt>
                <c:pt idx="22">
                  <c:v>1.55</c:v>
                </c:pt>
                <c:pt idx="23">
                  <c:v>1.55</c:v>
                </c:pt>
                <c:pt idx="24">
                  <c:v>1.55</c:v>
                </c:pt>
                <c:pt idx="25">
                  <c:v>1.55</c:v>
                </c:pt>
                <c:pt idx="26">
                  <c:v>1.55</c:v>
                </c:pt>
                <c:pt idx="27">
                  <c:v>1.55</c:v>
                </c:pt>
                <c:pt idx="28">
                  <c:v>1.55</c:v>
                </c:pt>
                <c:pt idx="29">
                  <c:v>1.55</c:v>
                </c:pt>
                <c:pt idx="30">
                  <c:v>1.55</c:v>
                </c:pt>
                <c:pt idx="31">
                  <c:v>1.55</c:v>
                </c:pt>
                <c:pt idx="32">
                  <c:v>1.55</c:v>
                </c:pt>
                <c:pt idx="33">
                  <c:v>1.55</c:v>
                </c:pt>
                <c:pt idx="34">
                  <c:v>1.55</c:v>
                </c:pt>
                <c:pt idx="35">
                  <c:v>1.55</c:v>
                </c:pt>
                <c:pt idx="36">
                  <c:v>1.55</c:v>
                </c:pt>
                <c:pt idx="37">
                  <c:v>1.55</c:v>
                </c:pt>
                <c:pt idx="38">
                  <c:v>1.55</c:v>
                </c:pt>
                <c:pt idx="39">
                  <c:v>1.55</c:v>
                </c:pt>
                <c:pt idx="40">
                  <c:v>1.55</c:v>
                </c:pt>
                <c:pt idx="41">
                  <c:v>1.55</c:v>
                </c:pt>
                <c:pt idx="42">
                  <c:v>1.55</c:v>
                </c:pt>
                <c:pt idx="43">
                  <c:v>1.55</c:v>
                </c:pt>
                <c:pt idx="44">
                  <c:v>1.55</c:v>
                </c:pt>
                <c:pt idx="45">
                  <c:v>1.55</c:v>
                </c:pt>
                <c:pt idx="46">
                  <c:v>1.55</c:v>
                </c:pt>
                <c:pt idx="47">
                  <c:v>1.55</c:v>
                </c:pt>
                <c:pt idx="48">
                  <c:v>1.55</c:v>
                </c:pt>
                <c:pt idx="49">
                  <c:v>1.55</c:v>
                </c:pt>
                <c:pt idx="50">
                  <c:v>1.55</c:v>
                </c:pt>
                <c:pt idx="51">
                  <c:v>1.55</c:v>
                </c:pt>
                <c:pt idx="52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18-40E1-984F-9215869C6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/>
              <a:t>TPD Mingguan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TPD Actual</c:v>
          </c:tx>
          <c:spPr>
            <a:ln w="19050">
              <a:solidFill>
                <a:srgbClr val="1B9E77"/>
              </a:solidFill>
              <a:prstDash val="solid"/>
            </a:ln>
          </c:spPr>
          <c:marker>
            <c:symbol val="none"/>
          </c:marker>
          <c:cat>
            <c:strRef>
              <c:f>'Grafik KPI 2026'!$AJ$71:$AJ$123</c:f>
              <c:strCache>
                <c:ptCount val="53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  <c:pt idx="52">
                  <c:v>W53</c:v>
                </c:pt>
              </c:strCache>
            </c:strRef>
          </c:cat>
          <c:val>
            <c:numRef>
              <c:f>'Grafik KPI 2026'!$AK$71:$AK$123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1.0309523809523808</c:v>
                </c:pt>
                <c:pt idx="31">
                  <c:v>1.1095238095238096</c:v>
                </c:pt>
                <c:pt idx="32">
                  <c:v>1.2124183006535947</c:v>
                </c:pt>
                <c:pt idx="33">
                  <c:v>0</c:v>
                </c:pt>
                <c:pt idx="34">
                  <c:v>1.4577777777777776</c:v>
                </c:pt>
                <c:pt idx="35">
                  <c:v>1.4387755102040816</c:v>
                </c:pt>
                <c:pt idx="36">
                  <c:v>1.42</c:v>
                </c:pt>
                <c:pt idx="37">
                  <c:v>1.2013888888888888</c:v>
                </c:pt>
                <c:pt idx="38">
                  <c:v>2.654863945578231</c:v>
                </c:pt>
                <c:pt idx="39">
                  <c:v>2.7176992442773171</c:v>
                </c:pt>
                <c:pt idx="40">
                  <c:v>2.611599160607569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E4-452F-BD3F-56FD80C757A8}"/>
            </c:ext>
          </c:extLst>
        </c:ser>
        <c:ser>
          <c:idx val="1"/>
          <c:order val="1"/>
          <c:tx>
            <c:v>TPD Target</c:v>
          </c:tx>
          <c:spPr>
            <a:ln w="19050">
              <a:solidFill>
                <a:srgbClr val="E67E22"/>
              </a:solidFill>
              <a:prstDash val="dash"/>
            </a:ln>
          </c:spPr>
          <c:marker>
            <c:symbol val="none"/>
          </c:marker>
          <c:cat>
            <c:strRef>
              <c:f>'Grafik KPI 2026'!$AJ$71:$AJ$123</c:f>
              <c:strCache>
                <c:ptCount val="53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  <c:pt idx="52">
                  <c:v>W53</c:v>
                </c:pt>
              </c:strCache>
            </c:strRef>
          </c:cat>
          <c:val>
            <c:numRef>
              <c:f>'Grafik KPI 2026'!$AL$71:$AL$123</c:f>
              <c:numCache>
                <c:formatCode>General</c:formatCode>
                <c:ptCount val="53"/>
                <c:pt idx="0">
                  <c:v>2.7</c:v>
                </c:pt>
                <c:pt idx="1">
                  <c:v>2.7</c:v>
                </c:pt>
                <c:pt idx="2">
                  <c:v>2.7</c:v>
                </c:pt>
                <c:pt idx="3">
                  <c:v>2.7</c:v>
                </c:pt>
                <c:pt idx="4">
                  <c:v>2.7</c:v>
                </c:pt>
                <c:pt idx="5">
                  <c:v>2.7</c:v>
                </c:pt>
                <c:pt idx="6">
                  <c:v>2.7</c:v>
                </c:pt>
                <c:pt idx="7">
                  <c:v>2.7</c:v>
                </c:pt>
                <c:pt idx="8">
                  <c:v>2.7</c:v>
                </c:pt>
                <c:pt idx="9">
                  <c:v>2.7</c:v>
                </c:pt>
                <c:pt idx="10">
                  <c:v>2.7</c:v>
                </c:pt>
                <c:pt idx="11">
                  <c:v>2.7</c:v>
                </c:pt>
                <c:pt idx="12">
                  <c:v>2.7</c:v>
                </c:pt>
                <c:pt idx="13">
                  <c:v>2.7</c:v>
                </c:pt>
                <c:pt idx="14">
                  <c:v>2.7</c:v>
                </c:pt>
                <c:pt idx="15">
                  <c:v>2.7</c:v>
                </c:pt>
                <c:pt idx="16">
                  <c:v>2.7</c:v>
                </c:pt>
                <c:pt idx="17">
                  <c:v>2.7</c:v>
                </c:pt>
                <c:pt idx="18">
                  <c:v>2.7</c:v>
                </c:pt>
                <c:pt idx="19">
                  <c:v>2.7</c:v>
                </c:pt>
                <c:pt idx="20">
                  <c:v>2.7</c:v>
                </c:pt>
                <c:pt idx="21">
                  <c:v>2.7</c:v>
                </c:pt>
                <c:pt idx="22">
                  <c:v>2.7</c:v>
                </c:pt>
                <c:pt idx="23">
                  <c:v>2.7</c:v>
                </c:pt>
                <c:pt idx="24">
                  <c:v>2.7</c:v>
                </c:pt>
                <c:pt idx="25">
                  <c:v>2.7</c:v>
                </c:pt>
                <c:pt idx="26">
                  <c:v>2.7</c:v>
                </c:pt>
                <c:pt idx="27">
                  <c:v>2.7</c:v>
                </c:pt>
                <c:pt idx="28">
                  <c:v>2.7</c:v>
                </c:pt>
                <c:pt idx="29">
                  <c:v>2.7</c:v>
                </c:pt>
                <c:pt idx="30">
                  <c:v>2.7</c:v>
                </c:pt>
                <c:pt idx="31">
                  <c:v>2.7</c:v>
                </c:pt>
                <c:pt idx="32">
                  <c:v>2.7</c:v>
                </c:pt>
                <c:pt idx="33">
                  <c:v>2.7</c:v>
                </c:pt>
                <c:pt idx="34">
                  <c:v>2.7</c:v>
                </c:pt>
                <c:pt idx="35">
                  <c:v>2.7</c:v>
                </c:pt>
                <c:pt idx="36">
                  <c:v>2.7</c:v>
                </c:pt>
                <c:pt idx="37">
                  <c:v>2.7</c:v>
                </c:pt>
                <c:pt idx="38">
                  <c:v>2.7</c:v>
                </c:pt>
                <c:pt idx="39">
                  <c:v>2.7</c:v>
                </c:pt>
                <c:pt idx="40">
                  <c:v>2.7</c:v>
                </c:pt>
                <c:pt idx="41">
                  <c:v>2.7</c:v>
                </c:pt>
                <c:pt idx="42">
                  <c:v>2.7</c:v>
                </c:pt>
                <c:pt idx="43">
                  <c:v>2.7</c:v>
                </c:pt>
                <c:pt idx="44">
                  <c:v>2.7</c:v>
                </c:pt>
                <c:pt idx="45">
                  <c:v>2.7</c:v>
                </c:pt>
                <c:pt idx="46">
                  <c:v>2.7</c:v>
                </c:pt>
                <c:pt idx="47">
                  <c:v>2.7</c:v>
                </c:pt>
                <c:pt idx="48">
                  <c:v>2.7</c:v>
                </c:pt>
                <c:pt idx="49">
                  <c:v>2.7</c:v>
                </c:pt>
                <c:pt idx="50">
                  <c:v>2.7</c:v>
                </c:pt>
                <c:pt idx="51">
                  <c:v>2.7</c:v>
                </c:pt>
                <c:pt idx="52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E4-452F-BD3F-56FD80C75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/>
              <a:t>Produksi Bulanan 2026 (Ton)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Produksi Actual (Ton)</c:v>
          </c:tx>
          <c:spPr>
            <a:solidFill>
              <a:srgbClr val="2F75B5"/>
            </a:solidFill>
          </c:spPr>
          <c:invertIfNegative val="1"/>
          <c:cat>
            <c:strRef>
              <c:f>'Grafik KPI 2026'!$A$71:$A$82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'Grafik KPI 2026'!$B$71:$B$82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74558</c:v>
                </c:pt>
                <c:pt idx="8">
                  <c:v>216232.85000000003</c:v>
                </c:pt>
                <c:pt idx="9">
                  <c:v>279728.59234920633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B32B-4022-BF66-CFCADBF3BEC3}"/>
            </c:ext>
          </c:extLst>
        </c:ser>
        <c:ser>
          <c:idx val="1"/>
          <c:order val="1"/>
          <c:tx>
            <c:v>Target Produksi (Ton)</c:v>
          </c:tx>
          <c:spPr>
            <a:solidFill>
              <a:srgbClr val="E67E22"/>
            </a:solidFill>
          </c:spPr>
          <c:invertIfNegative val="1"/>
          <c:cat>
            <c:strRef>
              <c:f>'Grafik KPI 2026'!$A$71:$A$82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'Grafik KPI 2026'!$C$71:$C$82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32000</c:v>
                </c:pt>
                <c:pt idx="8">
                  <c:v>398000</c:v>
                </c:pt>
                <c:pt idx="9">
                  <c:v>671000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B32B-4022-BF66-CFCADBF3B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/>
              <a:t>PA  (Physical</a:t>
            </a:r>
            <a:r>
              <a:rPr lang="en-ID" baseline="0"/>
              <a:t> Availability</a:t>
            </a:r>
            <a:r>
              <a:rPr lang="en-ID"/>
              <a:t>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PA Actual</c:v>
          </c:tx>
          <c:spPr>
            <a:ln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'Indikator KPI W30-W53'!$P$76:$P$99</c:f>
              <c:strCache>
                <c:ptCount val="24"/>
                <c:pt idx="0">
                  <c:v>W30</c:v>
                </c:pt>
                <c:pt idx="1">
                  <c:v>W31</c:v>
                </c:pt>
                <c:pt idx="2">
                  <c:v>W32</c:v>
                </c:pt>
                <c:pt idx="3">
                  <c:v>W33</c:v>
                </c:pt>
                <c:pt idx="4">
                  <c:v>W34</c:v>
                </c:pt>
                <c:pt idx="5">
                  <c:v>W35</c:v>
                </c:pt>
                <c:pt idx="6">
                  <c:v>W36</c:v>
                </c:pt>
                <c:pt idx="7">
                  <c:v>W37</c:v>
                </c:pt>
                <c:pt idx="8">
                  <c:v>W38</c:v>
                </c:pt>
                <c:pt idx="9">
                  <c:v>W39</c:v>
                </c:pt>
                <c:pt idx="10">
                  <c:v>W40</c:v>
                </c:pt>
                <c:pt idx="11">
                  <c:v>W41</c:v>
                </c:pt>
                <c:pt idx="12">
                  <c:v>W42</c:v>
                </c:pt>
                <c:pt idx="13">
                  <c:v>W43</c:v>
                </c:pt>
                <c:pt idx="14">
                  <c:v>W44</c:v>
                </c:pt>
                <c:pt idx="15">
                  <c:v>W45</c:v>
                </c:pt>
                <c:pt idx="16">
                  <c:v>W46</c:v>
                </c:pt>
                <c:pt idx="17">
                  <c:v>W47</c:v>
                </c:pt>
                <c:pt idx="18">
                  <c:v>W48</c:v>
                </c:pt>
                <c:pt idx="19">
                  <c:v>W49</c:v>
                </c:pt>
                <c:pt idx="20">
                  <c:v>W50</c:v>
                </c:pt>
                <c:pt idx="21">
                  <c:v>W51</c:v>
                </c:pt>
                <c:pt idx="22">
                  <c:v>W52</c:v>
                </c:pt>
                <c:pt idx="23">
                  <c:v>W53</c:v>
                </c:pt>
              </c:strCache>
            </c:strRef>
          </c:cat>
          <c:val>
            <c:numRef>
              <c:f>'Indikator KPI W30-W53'!$Q$76:$Q$99</c:f>
              <c:numCache>
                <c:formatCode>General</c:formatCode>
                <c:ptCount val="24"/>
                <c:pt idx="0">
                  <c:v>0</c:v>
                </c:pt>
                <c:pt idx="1">
                  <c:v>0.98084000000000005</c:v>
                </c:pt>
                <c:pt idx="2">
                  <c:v>0.97647142857142855</c:v>
                </c:pt>
                <c:pt idx="3">
                  <c:v>0.97</c:v>
                </c:pt>
                <c:pt idx="4">
                  <c:v>0</c:v>
                </c:pt>
                <c:pt idx="5">
                  <c:v>0.97830000000000017</c:v>
                </c:pt>
                <c:pt idx="6">
                  <c:v>0.97714285714285709</c:v>
                </c:pt>
                <c:pt idx="7">
                  <c:v>0.99</c:v>
                </c:pt>
                <c:pt idx="8">
                  <c:v>0.97833333333333317</c:v>
                </c:pt>
                <c:pt idx="9">
                  <c:v>0.98457142857142876</c:v>
                </c:pt>
                <c:pt idx="10">
                  <c:v>0.97099999999999986</c:v>
                </c:pt>
                <c:pt idx="11">
                  <c:v>0.96234999999999993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E7-4EE4-9A9E-84337A16583E}"/>
            </c:ext>
          </c:extLst>
        </c:ser>
        <c:ser>
          <c:idx val="1"/>
          <c:order val="1"/>
          <c:tx>
            <c:v>PA Target</c:v>
          </c:tx>
          <c:spPr>
            <a:ln w="19050">
              <a:solidFill>
                <a:srgbClr val="E67E22"/>
              </a:solidFill>
              <a:prstDash val="dash"/>
            </a:ln>
          </c:spPr>
          <c:marker>
            <c:symbol val="none"/>
          </c:marker>
          <c:cat>
            <c:strRef>
              <c:f>'Indikator KPI W30-W53'!$P$76:$P$99</c:f>
              <c:strCache>
                <c:ptCount val="24"/>
                <c:pt idx="0">
                  <c:v>W30</c:v>
                </c:pt>
                <c:pt idx="1">
                  <c:v>W31</c:v>
                </c:pt>
                <c:pt idx="2">
                  <c:v>W32</c:v>
                </c:pt>
                <c:pt idx="3">
                  <c:v>W33</c:v>
                </c:pt>
                <c:pt idx="4">
                  <c:v>W34</c:v>
                </c:pt>
                <c:pt idx="5">
                  <c:v>W35</c:v>
                </c:pt>
                <c:pt idx="6">
                  <c:v>W36</c:v>
                </c:pt>
                <c:pt idx="7">
                  <c:v>W37</c:v>
                </c:pt>
                <c:pt idx="8">
                  <c:v>W38</c:v>
                </c:pt>
                <c:pt idx="9">
                  <c:v>W39</c:v>
                </c:pt>
                <c:pt idx="10">
                  <c:v>W40</c:v>
                </c:pt>
                <c:pt idx="11">
                  <c:v>W41</c:v>
                </c:pt>
                <c:pt idx="12">
                  <c:v>W42</c:v>
                </c:pt>
                <c:pt idx="13">
                  <c:v>W43</c:v>
                </c:pt>
                <c:pt idx="14">
                  <c:v>W44</c:v>
                </c:pt>
                <c:pt idx="15">
                  <c:v>W45</c:v>
                </c:pt>
                <c:pt idx="16">
                  <c:v>W46</c:v>
                </c:pt>
                <c:pt idx="17">
                  <c:v>W47</c:v>
                </c:pt>
                <c:pt idx="18">
                  <c:v>W48</c:v>
                </c:pt>
                <c:pt idx="19">
                  <c:v>W49</c:v>
                </c:pt>
                <c:pt idx="20">
                  <c:v>W50</c:v>
                </c:pt>
                <c:pt idx="21">
                  <c:v>W51</c:v>
                </c:pt>
                <c:pt idx="22">
                  <c:v>W52</c:v>
                </c:pt>
                <c:pt idx="23">
                  <c:v>W53</c:v>
                </c:pt>
              </c:strCache>
            </c:strRef>
          </c:cat>
          <c:val>
            <c:numRef>
              <c:f>'Indikator KPI W30-W53'!$R$76:$R$99</c:f>
              <c:numCache>
                <c:formatCode>General</c:formatCode>
                <c:ptCount val="24"/>
                <c:pt idx="0">
                  <c:v>0.93</c:v>
                </c:pt>
                <c:pt idx="1">
                  <c:v>0.93</c:v>
                </c:pt>
                <c:pt idx="2">
                  <c:v>0.93</c:v>
                </c:pt>
                <c:pt idx="3">
                  <c:v>0.93</c:v>
                </c:pt>
                <c:pt idx="4">
                  <c:v>0.93</c:v>
                </c:pt>
                <c:pt idx="5">
                  <c:v>0.93</c:v>
                </c:pt>
                <c:pt idx="6">
                  <c:v>0.93</c:v>
                </c:pt>
                <c:pt idx="7">
                  <c:v>0.93</c:v>
                </c:pt>
                <c:pt idx="8">
                  <c:v>0.93</c:v>
                </c:pt>
                <c:pt idx="9">
                  <c:v>0.93</c:v>
                </c:pt>
                <c:pt idx="10">
                  <c:v>0.93</c:v>
                </c:pt>
                <c:pt idx="11">
                  <c:v>0.93</c:v>
                </c:pt>
                <c:pt idx="12">
                  <c:v>0.93</c:v>
                </c:pt>
                <c:pt idx="13">
                  <c:v>0.93</c:v>
                </c:pt>
                <c:pt idx="14">
                  <c:v>0.93</c:v>
                </c:pt>
                <c:pt idx="15">
                  <c:v>0.93</c:v>
                </c:pt>
                <c:pt idx="16">
                  <c:v>0.93</c:v>
                </c:pt>
                <c:pt idx="17">
                  <c:v>0.93</c:v>
                </c:pt>
                <c:pt idx="18">
                  <c:v>0.93</c:v>
                </c:pt>
                <c:pt idx="19">
                  <c:v>0.93</c:v>
                </c:pt>
                <c:pt idx="20">
                  <c:v>0.93</c:v>
                </c:pt>
                <c:pt idx="21">
                  <c:v>0.93</c:v>
                </c:pt>
                <c:pt idx="22">
                  <c:v>0.93</c:v>
                </c:pt>
                <c:pt idx="23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E7-4EE4-9A9E-84337A165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>
                <a:latin typeface="Times New Roman" panose="02020603050405020304" pitchFamily="18" charset="0"/>
                <a:cs typeface="Times New Roman" panose="02020603050405020304" pitchFamily="18" charset="0"/>
              </a:rPr>
              <a:t>UA  (Utilisasi</a:t>
            </a:r>
            <a:r>
              <a:rPr lang="en-ID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Availablility</a:t>
            </a:r>
            <a:r>
              <a:rPr lang="en-ID">
                <a:latin typeface="Times New Roman" panose="02020603050405020304" pitchFamily="18" charset="0"/>
                <a:cs typeface="Times New Roman" panose="02020603050405020304" pitchFamily="18" charset="0"/>
              </a:rPr>
              <a:t>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 UA</c:v>
          </c:tx>
          <c:spPr>
            <a:ln w="19050">
              <a:solidFill>
                <a:srgbClr val="1B9E77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chemeClr val="accent4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'Indikator KPI W30-W53'!$T$76:$T$87</c:f>
              <c:strCache>
                <c:ptCount val="12"/>
                <c:pt idx="0">
                  <c:v>W30</c:v>
                </c:pt>
                <c:pt idx="1">
                  <c:v>W31</c:v>
                </c:pt>
                <c:pt idx="2">
                  <c:v>W32</c:v>
                </c:pt>
                <c:pt idx="3">
                  <c:v>W33</c:v>
                </c:pt>
                <c:pt idx="4">
                  <c:v>W34</c:v>
                </c:pt>
                <c:pt idx="5">
                  <c:v>W35</c:v>
                </c:pt>
                <c:pt idx="6">
                  <c:v>W36</c:v>
                </c:pt>
                <c:pt idx="7">
                  <c:v>W37</c:v>
                </c:pt>
                <c:pt idx="8">
                  <c:v>W38</c:v>
                </c:pt>
                <c:pt idx="9">
                  <c:v>W39</c:v>
                </c:pt>
                <c:pt idx="10">
                  <c:v>W40</c:v>
                </c:pt>
                <c:pt idx="11">
                  <c:v>W41</c:v>
                </c:pt>
              </c:strCache>
            </c:strRef>
          </c:cat>
          <c:val>
            <c:numRef>
              <c:f>'Indikator KPI W30-W53'!$U$76:$U$87</c:f>
              <c:numCache>
                <c:formatCode>0%</c:formatCode>
                <c:ptCount val="12"/>
                <c:pt idx="0">
                  <c:v>0</c:v>
                </c:pt>
                <c:pt idx="1">
                  <c:v>0.49427333722563283</c:v>
                </c:pt>
                <c:pt idx="2">
                  <c:v>0.51370786013774805</c:v>
                </c:pt>
                <c:pt idx="3">
                  <c:v>0.62967531848127778</c:v>
                </c:pt>
                <c:pt idx="4">
                  <c:v>0</c:v>
                </c:pt>
                <c:pt idx="5">
                  <c:v>0.55890363362791362</c:v>
                </c:pt>
                <c:pt idx="6">
                  <c:v>0.53618580179446373</c:v>
                </c:pt>
                <c:pt idx="7">
                  <c:v>0.40697458729237151</c:v>
                </c:pt>
                <c:pt idx="8">
                  <c:v>0.47260822320348317</c:v>
                </c:pt>
                <c:pt idx="9">
                  <c:v>0.77337827856043795</c:v>
                </c:pt>
                <c:pt idx="10">
                  <c:v>0.81661528666582472</c:v>
                </c:pt>
                <c:pt idx="11">
                  <c:v>0.8382944241368856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8C-46B4-AD18-A96A5C5F64DB}"/>
            </c:ext>
          </c:extLst>
        </c:ser>
        <c:ser>
          <c:idx val="1"/>
          <c:order val="1"/>
          <c:tx>
            <c:v>TARGET UA</c:v>
          </c:tx>
          <c:spPr>
            <a:ln w="19050">
              <a:solidFill>
                <a:srgbClr val="E67E22"/>
              </a:solidFill>
              <a:prstDash val="dash"/>
            </a:ln>
          </c:spPr>
          <c:marker>
            <c:symbol val="none"/>
          </c:marker>
          <c:cat>
            <c:strRef>
              <c:f>'Indikator KPI W30-W53'!$T$76:$T$87</c:f>
              <c:strCache>
                <c:ptCount val="12"/>
                <c:pt idx="0">
                  <c:v>W30</c:v>
                </c:pt>
                <c:pt idx="1">
                  <c:v>W31</c:v>
                </c:pt>
                <c:pt idx="2">
                  <c:v>W32</c:v>
                </c:pt>
                <c:pt idx="3">
                  <c:v>W33</c:v>
                </c:pt>
                <c:pt idx="4">
                  <c:v>W34</c:v>
                </c:pt>
                <c:pt idx="5">
                  <c:v>W35</c:v>
                </c:pt>
                <c:pt idx="6">
                  <c:v>W36</c:v>
                </c:pt>
                <c:pt idx="7">
                  <c:v>W37</c:v>
                </c:pt>
                <c:pt idx="8">
                  <c:v>W38</c:v>
                </c:pt>
                <c:pt idx="9">
                  <c:v>W39</c:v>
                </c:pt>
                <c:pt idx="10">
                  <c:v>W40</c:v>
                </c:pt>
                <c:pt idx="11">
                  <c:v>W41</c:v>
                </c:pt>
              </c:strCache>
            </c:strRef>
          </c:cat>
          <c:val>
            <c:numRef>
              <c:f>'Indikator KPI W30-W53'!$V$76:$V$87</c:f>
              <c:numCache>
                <c:formatCode>General</c:formatCode>
                <c:ptCount val="12"/>
                <c:pt idx="0">
                  <c:v>0.88</c:v>
                </c:pt>
                <c:pt idx="1">
                  <c:v>0.88</c:v>
                </c:pt>
                <c:pt idx="2">
                  <c:v>0.88</c:v>
                </c:pt>
                <c:pt idx="3">
                  <c:v>0.88</c:v>
                </c:pt>
                <c:pt idx="4">
                  <c:v>0.88</c:v>
                </c:pt>
                <c:pt idx="5">
                  <c:v>0.88</c:v>
                </c:pt>
                <c:pt idx="6">
                  <c:v>0.88</c:v>
                </c:pt>
                <c:pt idx="7">
                  <c:v>0.88</c:v>
                </c:pt>
                <c:pt idx="8">
                  <c:v>0.88</c:v>
                </c:pt>
                <c:pt idx="9">
                  <c:v>0.88</c:v>
                </c:pt>
                <c:pt idx="10">
                  <c:v>0.88</c:v>
                </c:pt>
                <c:pt idx="11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8C-46B4-AD18-A96A5C5F6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  <c:txPr>
        <a:bodyPr/>
        <a:lstStyle/>
        <a:p>
          <a:pPr>
            <a:defRPr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>
                <a:latin typeface="Times New Roman" panose="02020603050405020304" pitchFamily="18" charset="0"/>
                <a:cs typeface="Times New Roman" panose="02020603050405020304" pitchFamily="18" charset="0"/>
              </a:rPr>
              <a:t>Payload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PAYLOAD AKTUAL</c:v>
          </c:tx>
          <c:spPr>
            <a:ln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'Indikator KPI W30-W53'!$X$76:$X$87</c:f>
              <c:strCache>
                <c:ptCount val="12"/>
                <c:pt idx="0">
                  <c:v>W30</c:v>
                </c:pt>
                <c:pt idx="1">
                  <c:v>W31</c:v>
                </c:pt>
                <c:pt idx="2">
                  <c:v>W32</c:v>
                </c:pt>
                <c:pt idx="3">
                  <c:v>W33</c:v>
                </c:pt>
                <c:pt idx="4">
                  <c:v>W34</c:v>
                </c:pt>
                <c:pt idx="5">
                  <c:v>W35</c:v>
                </c:pt>
                <c:pt idx="6">
                  <c:v>W36</c:v>
                </c:pt>
                <c:pt idx="7">
                  <c:v>W37</c:v>
                </c:pt>
                <c:pt idx="8">
                  <c:v>W38</c:v>
                </c:pt>
                <c:pt idx="9">
                  <c:v>W39</c:v>
                </c:pt>
                <c:pt idx="10">
                  <c:v>W40</c:v>
                </c:pt>
                <c:pt idx="11">
                  <c:v>W41</c:v>
                </c:pt>
              </c:strCache>
            </c:strRef>
          </c:cat>
          <c:val>
            <c:numRef>
              <c:f>'Indikator KPI W30-W53'!$Y$76:$Y$87</c:f>
              <c:numCache>
                <c:formatCode>0</c:formatCode>
                <c:ptCount val="12"/>
                <c:pt idx="0">
                  <c:v>0</c:v>
                </c:pt>
                <c:pt idx="1">
                  <c:v>207.15492540792542</c:v>
                </c:pt>
                <c:pt idx="2">
                  <c:v>201.82161755491668</c:v>
                </c:pt>
                <c:pt idx="3">
                  <c:v>205.59217857142858</c:v>
                </c:pt>
                <c:pt idx="4">
                  <c:v>0</c:v>
                </c:pt>
                <c:pt idx="5">
                  <c:v>205.70297735160199</c:v>
                </c:pt>
                <c:pt idx="6">
                  <c:v>206.13746197190244</c:v>
                </c:pt>
                <c:pt idx="7">
                  <c:v>209.12289002557543</c:v>
                </c:pt>
                <c:pt idx="8">
                  <c:v>206.76634242091973</c:v>
                </c:pt>
                <c:pt idx="9">
                  <c:v>203.20997796449214</c:v>
                </c:pt>
                <c:pt idx="10">
                  <c:v>204.21473456768777</c:v>
                </c:pt>
                <c:pt idx="11">
                  <c:v>205.54365305685531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5E-4EFA-A3F6-747FD1AFA5F9}"/>
            </c:ext>
          </c:extLst>
        </c:ser>
        <c:ser>
          <c:idx val="1"/>
          <c:order val="1"/>
          <c:tx>
            <c:v>PAYLOAD TARGET</c:v>
          </c:tx>
          <c:spPr>
            <a:ln w="19050">
              <a:solidFill>
                <a:srgbClr val="E67E22"/>
              </a:solidFill>
              <a:prstDash val="dash"/>
            </a:ln>
          </c:spPr>
          <c:marker>
            <c:symbol val="none"/>
          </c:marker>
          <c:cat>
            <c:strRef>
              <c:f>'Indikator KPI W30-W53'!$X$76:$X$87</c:f>
              <c:strCache>
                <c:ptCount val="12"/>
                <c:pt idx="0">
                  <c:v>W30</c:v>
                </c:pt>
                <c:pt idx="1">
                  <c:v>W31</c:v>
                </c:pt>
                <c:pt idx="2">
                  <c:v>W32</c:v>
                </c:pt>
                <c:pt idx="3">
                  <c:v>W33</c:v>
                </c:pt>
                <c:pt idx="4">
                  <c:v>W34</c:v>
                </c:pt>
                <c:pt idx="5">
                  <c:v>W35</c:v>
                </c:pt>
                <c:pt idx="6">
                  <c:v>W36</c:v>
                </c:pt>
                <c:pt idx="7">
                  <c:v>W37</c:v>
                </c:pt>
                <c:pt idx="8">
                  <c:v>W38</c:v>
                </c:pt>
                <c:pt idx="9">
                  <c:v>W39</c:v>
                </c:pt>
                <c:pt idx="10">
                  <c:v>W40</c:v>
                </c:pt>
                <c:pt idx="11">
                  <c:v>W41</c:v>
                </c:pt>
              </c:strCache>
            </c:strRef>
          </c:cat>
          <c:val>
            <c:numRef>
              <c:f>'Indikator KPI W30-W53'!$Z$76:$Z$87</c:f>
              <c:numCache>
                <c:formatCode>General</c:formatCode>
                <c:ptCount val="12"/>
                <c:pt idx="0">
                  <c:v>205</c:v>
                </c:pt>
                <c:pt idx="1">
                  <c:v>205</c:v>
                </c:pt>
                <c:pt idx="2">
                  <c:v>205</c:v>
                </c:pt>
                <c:pt idx="3">
                  <c:v>205</c:v>
                </c:pt>
                <c:pt idx="4">
                  <c:v>205</c:v>
                </c:pt>
                <c:pt idx="5">
                  <c:v>205</c:v>
                </c:pt>
                <c:pt idx="6">
                  <c:v>205</c:v>
                </c:pt>
                <c:pt idx="7">
                  <c:v>205</c:v>
                </c:pt>
                <c:pt idx="8">
                  <c:v>205</c:v>
                </c:pt>
                <c:pt idx="9">
                  <c:v>205</c:v>
                </c:pt>
                <c:pt idx="10">
                  <c:v>205</c:v>
                </c:pt>
                <c:pt idx="11">
                  <c:v>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5E-4EFA-A3F6-747FD1AFA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>
                <a:latin typeface="Times New Roman" panose="02020603050405020304" pitchFamily="18" charset="0"/>
                <a:cs typeface="Times New Roman" panose="02020603050405020304" pitchFamily="18" charset="0"/>
              </a:rPr>
              <a:t>Cycle Time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CT AKTUAL</c:v>
          </c:tx>
          <c:spPr>
            <a:ln w="19050">
              <a:solidFill>
                <a:srgbClr val="1B9E77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>
                <a:solidFill>
                  <a:schemeClr val="tx2">
                    <a:lumMod val="50000"/>
                    <a:lumOff val="50000"/>
                  </a:schemeClr>
                </a:solidFill>
              </a:ln>
            </c:spPr>
            <c:trendlineType val="poly"/>
            <c:order val="2"/>
            <c:dispRSqr val="0"/>
            <c:dispEq val="0"/>
          </c:trendline>
          <c:cat>
            <c:strRef>
              <c:f>'Indikator KPI W30-W53'!$AB$76:$AB$87</c:f>
              <c:strCache>
                <c:ptCount val="12"/>
                <c:pt idx="0">
                  <c:v>W30</c:v>
                </c:pt>
                <c:pt idx="1">
                  <c:v>W31</c:v>
                </c:pt>
                <c:pt idx="2">
                  <c:v>W32</c:v>
                </c:pt>
                <c:pt idx="3">
                  <c:v>W33</c:v>
                </c:pt>
                <c:pt idx="4">
                  <c:v>W34</c:v>
                </c:pt>
                <c:pt idx="5">
                  <c:v>W35</c:v>
                </c:pt>
                <c:pt idx="6">
                  <c:v>W36</c:v>
                </c:pt>
                <c:pt idx="7">
                  <c:v>W37</c:v>
                </c:pt>
                <c:pt idx="8">
                  <c:v>W38</c:v>
                </c:pt>
                <c:pt idx="9">
                  <c:v>W39</c:v>
                </c:pt>
                <c:pt idx="10">
                  <c:v>W40</c:v>
                </c:pt>
                <c:pt idx="11">
                  <c:v>W41</c:v>
                </c:pt>
              </c:strCache>
            </c:strRef>
          </c:cat>
          <c:val>
            <c:numRef>
              <c:f>'Indikator KPI W30-W53'!$AC$76:$AC$87</c:f>
              <c:numCache>
                <c:formatCode>0.00</c:formatCode>
                <c:ptCount val="12"/>
                <c:pt idx="0">
                  <c:v>0</c:v>
                </c:pt>
                <c:pt idx="1">
                  <c:v>11.296762774658461</c:v>
                </c:pt>
                <c:pt idx="2">
                  <c:v>10.928521728364416</c:v>
                </c:pt>
                <c:pt idx="3">
                  <c:v>12.414765575847641</c:v>
                </c:pt>
                <c:pt idx="4">
                  <c:v>0</c:v>
                </c:pt>
                <c:pt idx="5">
                  <c:v>9.2756071465678609</c:v>
                </c:pt>
                <c:pt idx="6">
                  <c:v>8.8385557040527516</c:v>
                </c:pt>
                <c:pt idx="7">
                  <c:v>6.8638621490495773</c:v>
                </c:pt>
                <c:pt idx="8">
                  <c:v>9.3969817709951151</c:v>
                </c:pt>
                <c:pt idx="9">
                  <c:v>6.9223640978360068</c:v>
                </c:pt>
                <c:pt idx="10">
                  <c:v>8.2388707154797949</c:v>
                </c:pt>
                <c:pt idx="11">
                  <c:v>8.7175883830978389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27-44DA-BE93-B2D999EF4917}"/>
            </c:ext>
          </c:extLst>
        </c:ser>
        <c:ser>
          <c:idx val="1"/>
          <c:order val="1"/>
          <c:tx>
            <c:v>CT TARGET</c:v>
          </c:tx>
          <c:spPr>
            <a:ln w="19050">
              <a:solidFill>
                <a:srgbClr val="E67E22"/>
              </a:solidFill>
              <a:prstDash val="dash"/>
            </a:ln>
          </c:spPr>
          <c:marker>
            <c:symbol val="none"/>
          </c:marker>
          <c:cat>
            <c:strRef>
              <c:f>'Indikator KPI W30-W53'!$AB$76:$AB$87</c:f>
              <c:strCache>
                <c:ptCount val="12"/>
                <c:pt idx="0">
                  <c:v>W30</c:v>
                </c:pt>
                <c:pt idx="1">
                  <c:v>W31</c:v>
                </c:pt>
                <c:pt idx="2">
                  <c:v>W32</c:v>
                </c:pt>
                <c:pt idx="3">
                  <c:v>W33</c:v>
                </c:pt>
                <c:pt idx="4">
                  <c:v>W34</c:v>
                </c:pt>
                <c:pt idx="5">
                  <c:v>W35</c:v>
                </c:pt>
                <c:pt idx="6">
                  <c:v>W36</c:v>
                </c:pt>
                <c:pt idx="7">
                  <c:v>W37</c:v>
                </c:pt>
                <c:pt idx="8">
                  <c:v>W38</c:v>
                </c:pt>
                <c:pt idx="9">
                  <c:v>W39</c:v>
                </c:pt>
                <c:pt idx="10">
                  <c:v>W40</c:v>
                </c:pt>
                <c:pt idx="11">
                  <c:v>W41</c:v>
                </c:pt>
              </c:strCache>
            </c:strRef>
          </c:cat>
          <c:val>
            <c:numRef>
              <c:f>'Indikator KPI W30-W53'!$AD$76:$AD$87</c:f>
              <c:numCache>
                <c:formatCode>General</c:formatCode>
                <c:ptCount val="12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27-44DA-BE93-B2D999EF4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  <c:txPr>
        <a:bodyPr/>
        <a:lstStyle/>
        <a:p>
          <a:pPr>
            <a:defRPr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>
                <a:latin typeface="Times New Roman" panose="02020603050405020304" pitchFamily="18" charset="0"/>
                <a:cs typeface="Times New Roman" panose="02020603050405020304" pitchFamily="18" charset="0"/>
              </a:rPr>
              <a:t>Fuel Ratio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FR AKTUAL</c:v>
          </c:tx>
          <c:spPr>
            <a:ln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AAF-4B97-BC10-D5ED1AD3127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AAF-4B97-BC10-D5ED1AD3127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AAF-4B97-BC10-D5ED1AD31277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AF-4B97-BC10-D5ED1AD31277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AF-4B97-BC10-D5ED1AD3127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AAF-4B97-BC10-D5ED1AD31277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AF-4B97-BC10-D5ED1AD31277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AAF-4B97-BC10-D5ED1AD31277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AAF-4B97-BC10-D5ED1AD31277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AAF-4B97-BC10-D5ED1AD31277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AAF-4B97-BC10-D5ED1AD31277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AAF-4B97-BC10-D5ED1AD31277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AAF-4B97-BC10-D5ED1AD31277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AAF-4B97-BC10-D5ED1AD312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>
                <a:solidFill>
                  <a:schemeClr val="tx2">
                    <a:lumMod val="50000"/>
                    <a:lumOff val="50000"/>
                  </a:schemeClr>
                </a:solidFill>
              </a:ln>
            </c:spPr>
            <c:trendlineType val="poly"/>
            <c:order val="2"/>
            <c:dispRSqr val="0"/>
            <c:dispEq val="0"/>
          </c:trendline>
          <c:cat>
            <c:strRef>
              <c:f>'Indikator KPI W30-W53'!$AF$76:$AF$87</c:f>
              <c:strCache>
                <c:ptCount val="12"/>
                <c:pt idx="0">
                  <c:v>W30</c:v>
                </c:pt>
                <c:pt idx="1">
                  <c:v>W31</c:v>
                </c:pt>
                <c:pt idx="2">
                  <c:v>W32</c:v>
                </c:pt>
                <c:pt idx="3">
                  <c:v>W33</c:v>
                </c:pt>
                <c:pt idx="4">
                  <c:v>W34</c:v>
                </c:pt>
                <c:pt idx="5">
                  <c:v>W35</c:v>
                </c:pt>
                <c:pt idx="6">
                  <c:v>W36</c:v>
                </c:pt>
                <c:pt idx="7">
                  <c:v>W37</c:v>
                </c:pt>
                <c:pt idx="8">
                  <c:v>W38</c:v>
                </c:pt>
                <c:pt idx="9">
                  <c:v>W39</c:v>
                </c:pt>
                <c:pt idx="10">
                  <c:v>W40</c:v>
                </c:pt>
                <c:pt idx="11">
                  <c:v>W41</c:v>
                </c:pt>
              </c:strCache>
            </c:strRef>
          </c:cat>
          <c:val>
            <c:numRef>
              <c:f>'Indikator KPI W30-W53'!$AG$76:$AG$87</c:f>
              <c:numCache>
                <c:formatCode>0.00</c:formatCode>
                <c:ptCount val="12"/>
                <c:pt idx="0" formatCode="General">
                  <c:v>0</c:v>
                </c:pt>
                <c:pt idx="1">
                  <c:v>1.7917364976551728</c:v>
                </c:pt>
                <c:pt idx="2">
                  <c:v>1.7270515485236027</c:v>
                </c:pt>
                <c:pt idx="3">
                  <c:v>1.4745641016431528</c:v>
                </c:pt>
                <c:pt idx="4">
                  <c:v>0</c:v>
                </c:pt>
                <c:pt idx="5">
                  <c:v>1.7963769312270017</c:v>
                </c:pt>
                <c:pt idx="6">
                  <c:v>1.699270237102686</c:v>
                </c:pt>
                <c:pt idx="7">
                  <c:v>1.3639608222156512</c:v>
                </c:pt>
                <c:pt idx="8">
                  <c:v>1.7823835688877434</c:v>
                </c:pt>
                <c:pt idx="9">
                  <c:v>1.4626601158545267</c:v>
                </c:pt>
                <c:pt idx="10">
                  <c:v>1.564545954604839</c:v>
                </c:pt>
                <c:pt idx="11">
                  <c:v>1.5333967039873861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3B-49C0-B5BA-172FC0D2F760}"/>
            </c:ext>
          </c:extLst>
        </c:ser>
        <c:ser>
          <c:idx val="1"/>
          <c:order val="1"/>
          <c:tx>
            <c:v>FR TARGET</c:v>
          </c:tx>
          <c:spPr>
            <a:ln w="19050">
              <a:solidFill>
                <a:srgbClr val="E67E22"/>
              </a:solidFill>
              <a:prstDash val="dash"/>
            </a:ln>
          </c:spPr>
          <c:marker>
            <c:symbol val="none"/>
          </c:marker>
          <c:cat>
            <c:strRef>
              <c:f>'Indikator KPI W30-W53'!$AF$76:$AF$87</c:f>
              <c:strCache>
                <c:ptCount val="12"/>
                <c:pt idx="0">
                  <c:v>W30</c:v>
                </c:pt>
                <c:pt idx="1">
                  <c:v>W31</c:v>
                </c:pt>
                <c:pt idx="2">
                  <c:v>W32</c:v>
                </c:pt>
                <c:pt idx="3">
                  <c:v>W33</c:v>
                </c:pt>
                <c:pt idx="4">
                  <c:v>W34</c:v>
                </c:pt>
                <c:pt idx="5">
                  <c:v>W35</c:v>
                </c:pt>
                <c:pt idx="6">
                  <c:v>W36</c:v>
                </c:pt>
                <c:pt idx="7">
                  <c:v>W37</c:v>
                </c:pt>
                <c:pt idx="8">
                  <c:v>W38</c:v>
                </c:pt>
                <c:pt idx="9">
                  <c:v>W39</c:v>
                </c:pt>
                <c:pt idx="10">
                  <c:v>W40</c:v>
                </c:pt>
                <c:pt idx="11">
                  <c:v>W41</c:v>
                </c:pt>
              </c:strCache>
            </c:strRef>
          </c:cat>
          <c:val>
            <c:numRef>
              <c:f>'Indikator KPI W30-W53'!$AH$76:$AH$87</c:f>
              <c:numCache>
                <c:formatCode>General</c:formatCode>
                <c:ptCount val="12"/>
                <c:pt idx="0">
                  <c:v>1.55</c:v>
                </c:pt>
                <c:pt idx="1">
                  <c:v>1.55</c:v>
                </c:pt>
                <c:pt idx="2">
                  <c:v>1.55</c:v>
                </c:pt>
                <c:pt idx="3">
                  <c:v>1.55</c:v>
                </c:pt>
                <c:pt idx="4">
                  <c:v>1.55</c:v>
                </c:pt>
                <c:pt idx="5">
                  <c:v>1.55</c:v>
                </c:pt>
                <c:pt idx="6">
                  <c:v>1.55</c:v>
                </c:pt>
                <c:pt idx="7">
                  <c:v>1.55</c:v>
                </c:pt>
                <c:pt idx="8">
                  <c:v>1.55</c:v>
                </c:pt>
                <c:pt idx="9">
                  <c:v>1.55</c:v>
                </c:pt>
                <c:pt idx="10">
                  <c:v>1.55</c:v>
                </c:pt>
                <c:pt idx="11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3B-49C0-B5BA-172FC0D2F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>
                <a:latin typeface="Times New Roman" panose="02020603050405020304" pitchFamily="18" charset="0"/>
                <a:cs typeface="Times New Roman" panose="02020603050405020304" pitchFamily="18" charset="0"/>
              </a:rPr>
              <a:t>TPD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TPD AKTUAL</c:v>
          </c:tx>
          <c:spPr>
            <a:ln w="19050">
              <a:solidFill>
                <a:srgbClr val="1B9E77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>
                <a:solidFill>
                  <a:schemeClr val="tx2">
                    <a:lumMod val="50000"/>
                    <a:lumOff val="50000"/>
                  </a:schemeClr>
                </a:solidFill>
              </a:ln>
            </c:spPr>
            <c:trendlineType val="poly"/>
            <c:order val="2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'Indikator KPI W30-W53'!$AJ$76:$AJ$87</c15:sqref>
                  </c15:fullRef>
                </c:ext>
              </c:extLst>
              <c:f>'Indikator KPI W30-W53'!$AJ$76:$AJ$87</c:f>
              <c:strCache>
                <c:ptCount val="12"/>
                <c:pt idx="0">
                  <c:v>W30</c:v>
                </c:pt>
                <c:pt idx="1">
                  <c:v>W31</c:v>
                </c:pt>
                <c:pt idx="2">
                  <c:v>W32</c:v>
                </c:pt>
                <c:pt idx="3">
                  <c:v>W33</c:v>
                </c:pt>
                <c:pt idx="4">
                  <c:v>W34</c:v>
                </c:pt>
                <c:pt idx="5">
                  <c:v>W35</c:v>
                </c:pt>
                <c:pt idx="6">
                  <c:v>W36</c:v>
                </c:pt>
                <c:pt idx="7">
                  <c:v>W37</c:v>
                </c:pt>
                <c:pt idx="8">
                  <c:v>W38</c:v>
                </c:pt>
                <c:pt idx="9">
                  <c:v>W39</c:v>
                </c:pt>
                <c:pt idx="10">
                  <c:v>W40</c:v>
                </c:pt>
                <c:pt idx="11">
                  <c:v>W41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'Indikator KPI W30-W53'!$AK$76:$AK$87</c15:sqref>
                  </c15:fullRef>
                </c:ext>
              </c:extLst>
              <c:f>'Indikator KPI W30-W53'!$AK$76:$AK$87</c:f>
              <c:numCache>
                <c:formatCode>0.0</c:formatCode>
                <c:ptCount val="12"/>
                <c:pt idx="0">
                  <c:v>0</c:v>
                </c:pt>
                <c:pt idx="1">
                  <c:v>1.0309523809523808</c:v>
                </c:pt>
                <c:pt idx="2">
                  <c:v>1.1095238095238096</c:v>
                </c:pt>
                <c:pt idx="3">
                  <c:v>1.2124183006535947</c:v>
                </c:pt>
                <c:pt idx="4">
                  <c:v>0</c:v>
                </c:pt>
                <c:pt idx="5">
                  <c:v>1.4577777777777776</c:v>
                </c:pt>
                <c:pt idx="6">
                  <c:v>1.4387755102040816</c:v>
                </c:pt>
                <c:pt idx="7">
                  <c:v>1.42</c:v>
                </c:pt>
                <c:pt idx="8">
                  <c:v>1.2013888888888888</c:v>
                </c:pt>
                <c:pt idx="9">
                  <c:v>2.654863945578231</c:v>
                </c:pt>
                <c:pt idx="10">
                  <c:v>2.7176992442773171</c:v>
                </c:pt>
                <c:pt idx="11">
                  <c:v>2.611599160607569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64-4479-ACCD-B35788AAD77D}"/>
            </c:ext>
          </c:extLst>
        </c:ser>
        <c:ser>
          <c:idx val="1"/>
          <c:order val="1"/>
          <c:tx>
            <c:v>TPD Target</c:v>
          </c:tx>
          <c:spPr>
            <a:ln w="19050">
              <a:solidFill>
                <a:srgbClr val="E67E22"/>
              </a:solidFill>
              <a:prstDash val="dash"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'Indikator KPI W30-W53'!$AJ$76:$AJ$87</c15:sqref>
                  </c15:fullRef>
                </c:ext>
              </c:extLst>
              <c:f>'Indikator KPI W30-W53'!$AJ$76:$AJ$87</c:f>
              <c:strCache>
                <c:ptCount val="12"/>
                <c:pt idx="0">
                  <c:v>W30</c:v>
                </c:pt>
                <c:pt idx="1">
                  <c:v>W31</c:v>
                </c:pt>
                <c:pt idx="2">
                  <c:v>W32</c:v>
                </c:pt>
                <c:pt idx="3">
                  <c:v>W33</c:v>
                </c:pt>
                <c:pt idx="4">
                  <c:v>W34</c:v>
                </c:pt>
                <c:pt idx="5">
                  <c:v>W35</c:v>
                </c:pt>
                <c:pt idx="6">
                  <c:v>W36</c:v>
                </c:pt>
                <c:pt idx="7">
                  <c:v>W37</c:v>
                </c:pt>
                <c:pt idx="8">
                  <c:v>W38</c:v>
                </c:pt>
                <c:pt idx="9">
                  <c:v>W39</c:v>
                </c:pt>
                <c:pt idx="10">
                  <c:v>W40</c:v>
                </c:pt>
                <c:pt idx="11">
                  <c:v>W41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'Indikator KPI W30-W53'!$AL$76:$AL$99</c15:sqref>
                  </c15:fullRef>
                </c:ext>
              </c:extLst>
              <c:f>'Indikator KPI W30-W53'!$AL$76:$AL$87</c:f>
              <c:numCache>
                <c:formatCode>General</c:formatCode>
                <c:ptCount val="12"/>
                <c:pt idx="0">
                  <c:v>2.7</c:v>
                </c:pt>
                <c:pt idx="1">
                  <c:v>2.7</c:v>
                </c:pt>
                <c:pt idx="2">
                  <c:v>2.7</c:v>
                </c:pt>
                <c:pt idx="3">
                  <c:v>2.7</c:v>
                </c:pt>
                <c:pt idx="4">
                  <c:v>2.7</c:v>
                </c:pt>
                <c:pt idx="5">
                  <c:v>2.7</c:v>
                </c:pt>
                <c:pt idx="6">
                  <c:v>2.7</c:v>
                </c:pt>
                <c:pt idx="7">
                  <c:v>2.7</c:v>
                </c:pt>
                <c:pt idx="8">
                  <c:v>2.7</c:v>
                </c:pt>
                <c:pt idx="9">
                  <c:v>2.7</c:v>
                </c:pt>
                <c:pt idx="10">
                  <c:v>2.7</c:v>
                </c:pt>
                <c:pt idx="11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64-4479-ACCD-B35788AAD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  <c:txPr>
        <a:bodyPr/>
        <a:lstStyle/>
        <a:p>
          <a:pPr>
            <a:defRPr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>
                <a:latin typeface="Times New Roman" panose="02020603050405020304" pitchFamily="18" charset="0"/>
                <a:cs typeface="Times New Roman" panose="02020603050405020304" pitchFamily="18" charset="0"/>
              </a:rPr>
              <a:t>Produksi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AKTUAL PRODUKSI</c:v>
          </c:tx>
          <c:spPr>
            <a:solidFill>
              <a:srgbClr val="2F75B5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>
                <a:solidFill>
                  <a:schemeClr val="accent2"/>
                </a:solidFill>
              </a:ln>
            </c:spPr>
            <c:trendlineType val="poly"/>
            <c:order val="2"/>
            <c:dispRSqr val="0"/>
            <c:dispEq val="0"/>
          </c:trendline>
          <c:cat>
            <c:strRef>
              <c:f>'Indikator KPI W30-W53'!$A$43:$A$54</c:f>
              <c:strCache>
                <c:ptCount val="12"/>
                <c:pt idx="0">
                  <c:v>W30</c:v>
                </c:pt>
                <c:pt idx="1">
                  <c:v>W31</c:v>
                </c:pt>
                <c:pt idx="2">
                  <c:v>W32</c:v>
                </c:pt>
                <c:pt idx="3">
                  <c:v>W33</c:v>
                </c:pt>
                <c:pt idx="4">
                  <c:v>W34</c:v>
                </c:pt>
                <c:pt idx="5">
                  <c:v>W35</c:v>
                </c:pt>
                <c:pt idx="6">
                  <c:v>W36</c:v>
                </c:pt>
                <c:pt idx="7">
                  <c:v>W37</c:v>
                </c:pt>
                <c:pt idx="8">
                  <c:v>W38</c:v>
                </c:pt>
                <c:pt idx="9">
                  <c:v>W39</c:v>
                </c:pt>
                <c:pt idx="10">
                  <c:v>W40</c:v>
                </c:pt>
                <c:pt idx="11">
                  <c:v>W41</c:v>
                </c:pt>
              </c:strCache>
            </c:strRef>
          </c:cat>
          <c:val>
            <c:numRef>
              <c:f>'Indikator KPI W30-W53'!$B$43:$B$54</c:f>
              <c:numCache>
                <c:formatCode>#,##0</c:formatCode>
                <c:ptCount val="12"/>
                <c:pt idx="0">
                  <c:v>0</c:v>
                </c:pt>
                <c:pt idx="1">
                  <c:v>13214.550000000001</c:v>
                </c:pt>
                <c:pt idx="2">
                  <c:v>24647.15</c:v>
                </c:pt>
                <c:pt idx="3">
                  <c:v>19858</c:v>
                </c:pt>
                <c:pt idx="4">
                  <c:v>0</c:v>
                </c:pt>
                <c:pt idx="5">
                  <c:v>28002.5</c:v>
                </c:pt>
                <c:pt idx="6">
                  <c:v>53901</c:v>
                </c:pt>
                <c:pt idx="7">
                  <c:v>13122.95</c:v>
                </c:pt>
                <c:pt idx="8">
                  <c:v>40318.199999999997</c:v>
                </c:pt>
                <c:pt idx="9">
                  <c:v>97726.499999999985</c:v>
                </c:pt>
                <c:pt idx="10">
                  <c:v>125803.6967936508</c:v>
                </c:pt>
                <c:pt idx="11">
                  <c:v>153924.89555555556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97-4376-BBC7-09DE77AF1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legendEntry>
        <c:idx val="1"/>
        <c:delete val="1"/>
      </c:legendEntry>
      <c:overlay val="0"/>
      <c:txPr>
        <a:bodyPr/>
        <a:lstStyle/>
        <a:p>
          <a:pPr>
            <a:defRPr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25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0</xdr:colOff>
      <xdr:row>2</xdr:row>
      <xdr:rowOff>0</xdr:rowOff>
    </xdr:from>
    <xdr:to>
      <xdr:col>35</xdr:col>
      <xdr:colOff>0</xdr:colOff>
      <xdr:row>17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18</xdr:row>
      <xdr:rowOff>0</xdr:rowOff>
    </xdr:from>
    <xdr:to>
      <xdr:col>25</xdr:col>
      <xdr:colOff>0</xdr:colOff>
      <xdr:row>33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18</xdr:row>
      <xdr:rowOff>0</xdr:rowOff>
    </xdr:from>
    <xdr:to>
      <xdr:col>35</xdr:col>
      <xdr:colOff>0</xdr:colOff>
      <xdr:row>33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34</xdr:row>
      <xdr:rowOff>0</xdr:rowOff>
    </xdr:from>
    <xdr:to>
      <xdr:col>25</xdr:col>
      <xdr:colOff>0</xdr:colOff>
      <xdr:row>49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0</xdr:colOff>
      <xdr:row>34</xdr:row>
      <xdr:rowOff>0</xdr:rowOff>
    </xdr:from>
    <xdr:to>
      <xdr:col>35</xdr:col>
      <xdr:colOff>0</xdr:colOff>
      <xdr:row>49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0</xdr:colOff>
      <xdr:row>50</xdr:row>
      <xdr:rowOff>0</xdr:rowOff>
    </xdr:from>
    <xdr:to>
      <xdr:col>35</xdr:col>
      <xdr:colOff>0</xdr:colOff>
      <xdr:row>67</xdr:row>
      <xdr:rowOff>0</xdr:rowOff>
    </xdr:to>
    <xdr:graphicFrame macro="">
      <xdr:nvGraphicFramePr>
        <xdr:cNvPr id="8" name="Chart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25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0</xdr:colOff>
      <xdr:row>2</xdr:row>
      <xdr:rowOff>0</xdr:rowOff>
    </xdr:from>
    <xdr:to>
      <xdr:col>35</xdr:col>
      <xdr:colOff>0</xdr:colOff>
      <xdr:row>17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18</xdr:row>
      <xdr:rowOff>0</xdr:rowOff>
    </xdr:from>
    <xdr:to>
      <xdr:col>25</xdr:col>
      <xdr:colOff>0</xdr:colOff>
      <xdr:row>33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18</xdr:row>
      <xdr:rowOff>0</xdr:rowOff>
    </xdr:from>
    <xdr:to>
      <xdr:col>35</xdr:col>
      <xdr:colOff>0</xdr:colOff>
      <xdr:row>33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34</xdr:row>
      <xdr:rowOff>0</xdr:rowOff>
    </xdr:from>
    <xdr:to>
      <xdr:col>25</xdr:col>
      <xdr:colOff>0</xdr:colOff>
      <xdr:row>49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0</xdr:colOff>
      <xdr:row>34</xdr:row>
      <xdr:rowOff>0</xdr:rowOff>
    </xdr:from>
    <xdr:to>
      <xdr:col>35</xdr:col>
      <xdr:colOff>0</xdr:colOff>
      <xdr:row>49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0</xdr:colOff>
      <xdr:row>50</xdr:row>
      <xdr:rowOff>0</xdr:rowOff>
    </xdr:from>
    <xdr:to>
      <xdr:col>35</xdr:col>
      <xdr:colOff>0</xdr:colOff>
      <xdr:row>67</xdr:row>
      <xdr:rowOff>0</xdr:rowOff>
    </xdr:to>
    <xdr:graphicFrame macro="">
      <xdr:nvGraphicFramePr>
        <xdr:cNvPr id="8" name="Chart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9"/>
  <sheetViews>
    <sheetView tabSelected="1" topLeftCell="A237" workbookViewId="0">
      <selection activeCell="A4" sqref="A4:I290"/>
    </sheetView>
  </sheetViews>
  <sheetFormatPr defaultRowHeight="14.5" x14ac:dyDescent="0.35"/>
  <cols>
    <col min="1" max="1" width="14.90625" customWidth="1"/>
    <col min="2" max="3" width="11.26953125" customWidth="1"/>
    <col min="4" max="4" width="15.36328125" customWidth="1"/>
    <col min="5" max="5" width="14.90625" customWidth="1"/>
    <col min="6" max="6" width="13.7265625" customWidth="1"/>
    <col min="7" max="7" width="15.7265625" customWidth="1"/>
    <col min="8" max="8" width="14.453125" customWidth="1"/>
    <col min="9" max="9" width="15.453125" customWidth="1"/>
    <col min="10" max="10" width="21.453125" customWidth="1"/>
    <col min="11" max="11" width="22.08984375" customWidth="1"/>
    <col min="12" max="12" width="24.453125" customWidth="1"/>
    <col min="13" max="13" width="14.90625" customWidth="1"/>
  </cols>
  <sheetData>
    <row r="1" spans="1:13" ht="23" x14ac:dyDescent="0.5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1"/>
    </row>
    <row r="2" spans="1:13" x14ac:dyDescent="0.35">
      <c r="A2" s="95" t="s">
        <v>1</v>
      </c>
      <c r="B2" s="95"/>
      <c r="C2" s="95"/>
      <c r="D2" s="95"/>
      <c r="E2" s="95"/>
      <c r="F2" s="95"/>
      <c r="G2" s="95"/>
      <c r="H2" s="95"/>
      <c r="I2" s="95"/>
      <c r="J2" s="95"/>
      <c r="K2" s="2"/>
      <c r="L2" t="s">
        <v>2</v>
      </c>
      <c r="M2" t="s">
        <v>3</v>
      </c>
    </row>
    <row r="3" spans="1:13" x14ac:dyDescent="0.35">
      <c r="L3" t="s">
        <v>4</v>
      </c>
      <c r="M3">
        <v>0.93</v>
      </c>
    </row>
    <row r="4" spans="1:13" x14ac:dyDescent="0.35">
      <c r="A4" s="3" t="s">
        <v>5</v>
      </c>
      <c r="B4" s="3" t="s">
        <v>4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t="s">
        <v>6</v>
      </c>
      <c r="M4">
        <v>0.88</v>
      </c>
    </row>
    <row r="5" spans="1:13" hidden="1" x14ac:dyDescent="0.35">
      <c r="A5" s="4">
        <v>46023</v>
      </c>
      <c r="B5" s="5"/>
      <c r="C5" s="6"/>
      <c r="D5" s="7"/>
      <c r="E5" s="8"/>
      <c r="F5" s="8"/>
      <c r="G5" s="9"/>
      <c r="H5" s="8"/>
      <c r="I5" s="10"/>
      <c r="J5" s="11"/>
      <c r="K5" t="str">
        <f t="shared" ref="K5:K68" si="0">"W"&amp;TEXT(INT((A5-DATE(2026,1,1))/7)+1,"00")</f>
        <v>W01</v>
      </c>
      <c r="L5" t="s">
        <v>7</v>
      </c>
      <c r="M5">
        <v>205</v>
      </c>
    </row>
    <row r="6" spans="1:13" hidden="1" x14ac:dyDescent="0.35">
      <c r="A6" s="4">
        <v>46024</v>
      </c>
      <c r="B6" s="12"/>
      <c r="C6" s="13"/>
      <c r="D6" s="14"/>
      <c r="E6" s="15"/>
      <c r="F6" s="15"/>
      <c r="G6" s="16"/>
      <c r="H6" s="15"/>
      <c r="I6" s="17"/>
      <c r="J6" s="18"/>
      <c r="K6" t="str">
        <f t="shared" si="0"/>
        <v>W01</v>
      </c>
      <c r="L6" t="s">
        <v>8</v>
      </c>
      <c r="M6">
        <v>7.5</v>
      </c>
    </row>
    <row r="7" spans="1:13" hidden="1" x14ac:dyDescent="0.35">
      <c r="A7" s="4">
        <v>46025</v>
      </c>
      <c r="B7" s="12"/>
      <c r="C7" s="13"/>
      <c r="D7" s="14"/>
      <c r="E7" s="15"/>
      <c r="F7" s="15"/>
      <c r="G7" s="16"/>
      <c r="H7" s="15"/>
      <c r="I7" s="17"/>
      <c r="J7" s="18"/>
      <c r="K7" t="str">
        <f t="shared" si="0"/>
        <v>W01</v>
      </c>
      <c r="L7" t="s">
        <v>9</v>
      </c>
      <c r="M7">
        <v>1.55</v>
      </c>
    </row>
    <row r="8" spans="1:13" hidden="1" x14ac:dyDescent="0.35">
      <c r="A8" s="4">
        <v>46026</v>
      </c>
      <c r="B8" s="12"/>
      <c r="C8" s="13"/>
      <c r="D8" s="14"/>
      <c r="E8" s="15"/>
      <c r="F8" s="15"/>
      <c r="G8" s="16"/>
      <c r="H8" s="15"/>
      <c r="I8" s="17"/>
      <c r="J8" s="18"/>
      <c r="K8" t="str">
        <f t="shared" si="0"/>
        <v>W01</v>
      </c>
      <c r="L8" t="s">
        <v>10</v>
      </c>
      <c r="M8">
        <v>43</v>
      </c>
    </row>
    <row r="9" spans="1:13" hidden="1" x14ac:dyDescent="0.35">
      <c r="A9" s="4">
        <v>46027</v>
      </c>
      <c r="B9" s="12"/>
      <c r="C9" s="13"/>
      <c r="D9" s="14"/>
      <c r="E9" s="15"/>
      <c r="F9" s="15"/>
      <c r="G9" s="16"/>
      <c r="H9" s="15"/>
      <c r="I9" s="17"/>
      <c r="J9" s="18"/>
      <c r="K9" t="str">
        <f t="shared" si="0"/>
        <v>W01</v>
      </c>
      <c r="L9" t="s">
        <v>11</v>
      </c>
      <c r="M9">
        <v>2.7</v>
      </c>
    </row>
    <row r="10" spans="1:13" hidden="1" x14ac:dyDescent="0.35">
      <c r="A10" s="4">
        <v>46028</v>
      </c>
      <c r="B10" s="12"/>
      <c r="C10" s="13"/>
      <c r="D10" s="14"/>
      <c r="E10" s="15"/>
      <c r="F10" s="15"/>
      <c r="G10" s="16"/>
      <c r="H10" s="15"/>
      <c r="I10" s="17"/>
      <c r="J10" s="18"/>
      <c r="K10" t="str">
        <f t="shared" si="0"/>
        <v>W01</v>
      </c>
      <c r="L10" t="s">
        <v>15</v>
      </c>
      <c r="M10">
        <v>398000</v>
      </c>
    </row>
    <row r="11" spans="1:13" hidden="1" x14ac:dyDescent="0.35">
      <c r="A11" s="4">
        <v>46029</v>
      </c>
      <c r="B11" s="12"/>
      <c r="C11" s="13"/>
      <c r="D11" s="14"/>
      <c r="E11" s="15"/>
      <c r="F11" s="15"/>
      <c r="G11" s="16"/>
      <c r="H11" s="15"/>
      <c r="I11" s="17"/>
      <c r="J11" s="18"/>
      <c r="K11" t="str">
        <f t="shared" si="0"/>
        <v>W01</v>
      </c>
      <c r="L11" t="s">
        <v>16</v>
      </c>
      <c r="M11" s="19">
        <f>M10/30</f>
        <v>13266.666666666666</v>
      </c>
    </row>
    <row r="12" spans="1:13" hidden="1" x14ac:dyDescent="0.35">
      <c r="A12" s="4">
        <v>46030</v>
      </c>
      <c r="B12" s="12"/>
      <c r="C12" s="13"/>
      <c r="D12" s="14"/>
      <c r="E12" s="15"/>
      <c r="F12" s="15"/>
      <c r="G12" s="16"/>
      <c r="H12" s="15"/>
      <c r="I12" s="17"/>
      <c r="J12" s="18"/>
      <c r="K12" t="str">
        <f t="shared" si="0"/>
        <v>W02</v>
      </c>
      <c r="L12" t="s">
        <v>17</v>
      </c>
      <c r="M12">
        <v>671000</v>
      </c>
    </row>
    <row r="13" spans="1:13" hidden="1" x14ac:dyDescent="0.35">
      <c r="A13" s="4">
        <v>46031</v>
      </c>
      <c r="B13" s="12"/>
      <c r="C13" s="13"/>
      <c r="D13" s="14"/>
      <c r="E13" s="15"/>
      <c r="F13" s="15"/>
      <c r="G13" s="16"/>
      <c r="H13" s="15"/>
      <c r="I13" s="17"/>
      <c r="J13" s="18"/>
      <c r="K13" t="str">
        <f t="shared" si="0"/>
        <v>W02</v>
      </c>
      <c r="L13" t="s">
        <v>18</v>
      </c>
      <c r="M13" s="20">
        <f>M12/31</f>
        <v>21645.16129032258</v>
      </c>
    </row>
    <row r="14" spans="1:13" hidden="1" x14ac:dyDescent="0.35">
      <c r="A14" s="4">
        <v>46032</v>
      </c>
      <c r="B14" s="12"/>
      <c r="C14" s="13"/>
      <c r="D14" s="14"/>
      <c r="E14" s="15"/>
      <c r="F14" s="15"/>
      <c r="G14" s="16"/>
      <c r="H14" s="15"/>
      <c r="I14" s="17"/>
      <c r="J14" s="18"/>
      <c r="K14" t="str">
        <f t="shared" si="0"/>
        <v>W02</v>
      </c>
      <c r="L14" t="s">
        <v>19</v>
      </c>
      <c r="M14">
        <v>671000</v>
      </c>
    </row>
    <row r="15" spans="1:13" hidden="1" x14ac:dyDescent="0.35">
      <c r="A15" s="4">
        <v>46033</v>
      </c>
      <c r="B15" s="12"/>
      <c r="C15" s="13"/>
      <c r="D15" s="14"/>
      <c r="E15" s="15"/>
      <c r="F15" s="15"/>
      <c r="G15" s="16"/>
      <c r="H15" s="15"/>
      <c r="I15" s="17"/>
      <c r="J15" s="18"/>
      <c r="K15" t="str">
        <f t="shared" si="0"/>
        <v>W02</v>
      </c>
      <c r="L15" t="s">
        <v>20</v>
      </c>
      <c r="M15" s="19">
        <f>M14/30</f>
        <v>22366.666666666668</v>
      </c>
    </row>
    <row r="16" spans="1:13" hidden="1" x14ac:dyDescent="0.35">
      <c r="A16" s="4">
        <v>46034</v>
      </c>
      <c r="B16" s="12"/>
      <c r="C16" s="13"/>
      <c r="D16" s="14"/>
      <c r="E16" s="15"/>
      <c r="F16" s="15"/>
      <c r="G16" s="16"/>
      <c r="H16" s="15"/>
      <c r="I16" s="17"/>
      <c r="J16" s="18"/>
      <c r="K16" t="str">
        <f t="shared" si="0"/>
        <v>W02</v>
      </c>
      <c r="L16" t="s">
        <v>21</v>
      </c>
      <c r="M16">
        <v>671000</v>
      </c>
    </row>
    <row r="17" spans="1:13" hidden="1" x14ac:dyDescent="0.35">
      <c r="A17" s="4">
        <v>46035</v>
      </c>
      <c r="B17" s="12"/>
      <c r="C17" s="13"/>
      <c r="D17" s="14"/>
      <c r="E17" s="15"/>
      <c r="F17" s="15"/>
      <c r="G17" s="16"/>
      <c r="H17" s="15"/>
      <c r="I17" s="17"/>
      <c r="J17" s="18"/>
      <c r="K17" t="str">
        <f t="shared" si="0"/>
        <v>W02</v>
      </c>
      <c r="L17" t="s">
        <v>22</v>
      </c>
      <c r="M17" s="19">
        <f>M16/31</f>
        <v>21645.16129032258</v>
      </c>
    </row>
    <row r="18" spans="1:13" hidden="1" x14ac:dyDescent="0.35">
      <c r="A18" s="4">
        <v>46036</v>
      </c>
      <c r="B18" s="12"/>
      <c r="C18" s="13"/>
      <c r="D18" s="14"/>
      <c r="E18" s="15"/>
      <c r="F18" s="15"/>
      <c r="G18" s="16"/>
      <c r="H18" s="15"/>
      <c r="I18" s="17"/>
      <c r="J18" s="18"/>
      <c r="K18" t="str">
        <f t="shared" si="0"/>
        <v>W02</v>
      </c>
    </row>
    <row r="19" spans="1:13" hidden="1" x14ac:dyDescent="0.35">
      <c r="A19" s="4">
        <v>46037</v>
      </c>
      <c r="B19" s="12"/>
      <c r="C19" s="13"/>
      <c r="D19" s="14"/>
      <c r="E19" s="15"/>
      <c r="F19" s="15"/>
      <c r="G19" s="16"/>
      <c r="H19" s="15"/>
      <c r="I19" s="17"/>
      <c r="J19" s="18"/>
      <c r="K19" t="str">
        <f t="shared" si="0"/>
        <v>W03</v>
      </c>
    </row>
    <row r="20" spans="1:13" hidden="1" x14ac:dyDescent="0.35">
      <c r="A20" s="4">
        <v>46038</v>
      </c>
      <c r="B20" s="12"/>
      <c r="C20" s="13"/>
      <c r="D20" s="14"/>
      <c r="E20" s="15"/>
      <c r="F20" s="15"/>
      <c r="G20" s="16"/>
      <c r="H20" s="15"/>
      <c r="I20" s="17"/>
      <c r="J20" s="18"/>
      <c r="K20" t="str">
        <f t="shared" si="0"/>
        <v>W03</v>
      </c>
    </row>
    <row r="21" spans="1:13" hidden="1" x14ac:dyDescent="0.35">
      <c r="A21" s="4">
        <v>46039</v>
      </c>
      <c r="B21" s="12"/>
      <c r="C21" s="13"/>
      <c r="D21" s="14"/>
      <c r="E21" s="15"/>
      <c r="F21" s="15"/>
      <c r="G21" s="16"/>
      <c r="H21" s="15"/>
      <c r="I21" s="17"/>
      <c r="J21" s="18"/>
      <c r="K21" t="str">
        <f t="shared" si="0"/>
        <v>W03</v>
      </c>
    </row>
    <row r="22" spans="1:13" hidden="1" x14ac:dyDescent="0.35">
      <c r="A22" s="4">
        <v>46040</v>
      </c>
      <c r="B22" s="12"/>
      <c r="C22" s="13"/>
      <c r="D22" s="14"/>
      <c r="E22" s="15"/>
      <c r="F22" s="15"/>
      <c r="G22" s="16"/>
      <c r="H22" s="15"/>
      <c r="I22" s="17"/>
      <c r="J22" s="18"/>
      <c r="K22" t="str">
        <f t="shared" si="0"/>
        <v>W03</v>
      </c>
    </row>
    <row r="23" spans="1:13" hidden="1" x14ac:dyDescent="0.35">
      <c r="A23" s="4">
        <v>46041</v>
      </c>
      <c r="B23" s="12"/>
      <c r="C23" s="13"/>
      <c r="D23" s="14"/>
      <c r="E23" s="15"/>
      <c r="F23" s="15"/>
      <c r="G23" s="16"/>
      <c r="H23" s="15"/>
      <c r="I23" s="17"/>
      <c r="J23" s="18"/>
      <c r="K23" t="str">
        <f t="shared" si="0"/>
        <v>W03</v>
      </c>
    </row>
    <row r="24" spans="1:13" hidden="1" x14ac:dyDescent="0.35">
      <c r="A24" s="4">
        <v>46042</v>
      </c>
      <c r="B24" s="12"/>
      <c r="C24" s="13"/>
      <c r="D24" s="14"/>
      <c r="E24" s="15"/>
      <c r="F24" s="15"/>
      <c r="G24" s="16"/>
      <c r="H24" s="15"/>
      <c r="I24" s="17"/>
      <c r="J24" s="18"/>
      <c r="K24" t="str">
        <f t="shared" si="0"/>
        <v>W03</v>
      </c>
    </row>
    <row r="25" spans="1:13" hidden="1" x14ac:dyDescent="0.35">
      <c r="A25" s="4">
        <v>46043</v>
      </c>
      <c r="B25" s="12"/>
      <c r="C25" s="13"/>
      <c r="D25" s="14"/>
      <c r="E25" s="15"/>
      <c r="F25" s="15"/>
      <c r="G25" s="16"/>
      <c r="H25" s="15"/>
      <c r="I25" s="17"/>
      <c r="J25" s="18"/>
      <c r="K25" t="str">
        <f t="shared" si="0"/>
        <v>W03</v>
      </c>
    </row>
    <row r="26" spans="1:13" hidden="1" x14ac:dyDescent="0.35">
      <c r="A26" s="4">
        <v>46044</v>
      </c>
      <c r="B26" s="12"/>
      <c r="C26" s="13"/>
      <c r="D26" s="14"/>
      <c r="E26" s="15"/>
      <c r="F26" s="15"/>
      <c r="G26" s="16"/>
      <c r="H26" s="15"/>
      <c r="I26" s="17"/>
      <c r="J26" s="18"/>
      <c r="K26" t="str">
        <f t="shared" si="0"/>
        <v>W04</v>
      </c>
    </row>
    <row r="27" spans="1:13" hidden="1" x14ac:dyDescent="0.35">
      <c r="A27" s="4">
        <v>46045</v>
      </c>
      <c r="B27" s="12"/>
      <c r="C27" s="13"/>
      <c r="D27" s="14"/>
      <c r="E27" s="15"/>
      <c r="F27" s="15"/>
      <c r="G27" s="16"/>
      <c r="H27" s="15"/>
      <c r="I27" s="17"/>
      <c r="J27" s="18"/>
      <c r="K27" t="str">
        <f t="shared" si="0"/>
        <v>W04</v>
      </c>
    </row>
    <row r="28" spans="1:13" hidden="1" x14ac:dyDescent="0.35">
      <c r="A28" s="4">
        <v>46046</v>
      </c>
      <c r="B28" s="12"/>
      <c r="C28" s="13"/>
      <c r="D28" s="14"/>
      <c r="E28" s="15"/>
      <c r="F28" s="15"/>
      <c r="G28" s="16"/>
      <c r="H28" s="15"/>
      <c r="I28" s="17"/>
      <c r="J28" s="18"/>
      <c r="K28" t="str">
        <f t="shared" si="0"/>
        <v>W04</v>
      </c>
    </row>
    <row r="29" spans="1:13" hidden="1" x14ac:dyDescent="0.35">
      <c r="A29" s="4">
        <v>46047</v>
      </c>
      <c r="B29" s="12"/>
      <c r="C29" s="13"/>
      <c r="D29" s="14"/>
      <c r="E29" s="15"/>
      <c r="F29" s="15"/>
      <c r="G29" s="16"/>
      <c r="H29" s="15"/>
      <c r="I29" s="17"/>
      <c r="J29" s="18"/>
      <c r="K29" t="str">
        <f t="shared" si="0"/>
        <v>W04</v>
      </c>
    </row>
    <row r="30" spans="1:13" hidden="1" x14ac:dyDescent="0.35">
      <c r="A30" s="4">
        <v>46048</v>
      </c>
      <c r="B30" s="12"/>
      <c r="C30" s="13"/>
      <c r="D30" s="14"/>
      <c r="E30" s="15"/>
      <c r="F30" s="15"/>
      <c r="G30" s="16"/>
      <c r="H30" s="15"/>
      <c r="I30" s="17"/>
      <c r="J30" s="18"/>
      <c r="K30" t="str">
        <f t="shared" si="0"/>
        <v>W04</v>
      </c>
    </row>
    <row r="31" spans="1:13" hidden="1" x14ac:dyDescent="0.35">
      <c r="A31" s="4">
        <v>46049</v>
      </c>
      <c r="B31" s="12"/>
      <c r="C31" s="13"/>
      <c r="D31" s="14"/>
      <c r="E31" s="15"/>
      <c r="F31" s="15"/>
      <c r="G31" s="16"/>
      <c r="H31" s="15"/>
      <c r="I31" s="17"/>
      <c r="J31" s="18"/>
      <c r="K31" t="str">
        <f t="shared" si="0"/>
        <v>W04</v>
      </c>
    </row>
    <row r="32" spans="1:13" hidden="1" x14ac:dyDescent="0.35">
      <c r="A32" s="4">
        <v>46050</v>
      </c>
      <c r="B32" s="12"/>
      <c r="C32" s="13"/>
      <c r="D32" s="14"/>
      <c r="E32" s="15"/>
      <c r="F32" s="15"/>
      <c r="G32" s="16"/>
      <c r="H32" s="15"/>
      <c r="I32" s="17"/>
      <c r="J32" s="18"/>
      <c r="K32" t="str">
        <f t="shared" si="0"/>
        <v>W04</v>
      </c>
    </row>
    <row r="33" spans="1:11" hidden="1" x14ac:dyDescent="0.35">
      <c r="A33" s="4">
        <v>46051</v>
      </c>
      <c r="B33" s="12"/>
      <c r="C33" s="13"/>
      <c r="D33" s="14"/>
      <c r="E33" s="15"/>
      <c r="F33" s="15"/>
      <c r="G33" s="16"/>
      <c r="H33" s="15"/>
      <c r="I33" s="17"/>
      <c r="J33" s="18"/>
      <c r="K33" t="str">
        <f t="shared" si="0"/>
        <v>W05</v>
      </c>
    </row>
    <row r="34" spans="1:11" hidden="1" x14ac:dyDescent="0.35">
      <c r="A34" s="4">
        <v>46052</v>
      </c>
      <c r="B34" s="12"/>
      <c r="C34" s="13"/>
      <c r="D34" s="14"/>
      <c r="E34" s="15"/>
      <c r="F34" s="15"/>
      <c r="G34" s="16"/>
      <c r="H34" s="15"/>
      <c r="I34" s="17"/>
      <c r="J34" s="18"/>
      <c r="K34" t="str">
        <f t="shared" si="0"/>
        <v>W05</v>
      </c>
    </row>
    <row r="35" spans="1:11" hidden="1" x14ac:dyDescent="0.35">
      <c r="A35" s="4">
        <v>46053</v>
      </c>
      <c r="B35" s="12"/>
      <c r="C35" s="13"/>
      <c r="D35" s="14"/>
      <c r="E35" s="15"/>
      <c r="F35" s="15"/>
      <c r="G35" s="16"/>
      <c r="H35" s="15"/>
      <c r="I35" s="17"/>
      <c r="J35" s="18"/>
      <c r="K35" t="str">
        <f t="shared" si="0"/>
        <v>W05</v>
      </c>
    </row>
    <row r="36" spans="1:11" hidden="1" x14ac:dyDescent="0.35">
      <c r="A36" s="4">
        <v>46054</v>
      </c>
      <c r="B36" s="12"/>
      <c r="C36" s="13"/>
      <c r="D36" s="14"/>
      <c r="E36" s="15"/>
      <c r="F36" s="15"/>
      <c r="G36" s="16"/>
      <c r="H36" s="15"/>
      <c r="I36" s="17"/>
      <c r="J36" s="18"/>
      <c r="K36" t="str">
        <f t="shared" si="0"/>
        <v>W05</v>
      </c>
    </row>
    <row r="37" spans="1:11" hidden="1" x14ac:dyDescent="0.35">
      <c r="A37" s="4">
        <v>46055</v>
      </c>
      <c r="B37" s="12"/>
      <c r="C37" s="13"/>
      <c r="D37" s="14"/>
      <c r="E37" s="15"/>
      <c r="F37" s="15"/>
      <c r="G37" s="16"/>
      <c r="H37" s="15"/>
      <c r="I37" s="17"/>
      <c r="J37" s="18"/>
      <c r="K37" t="str">
        <f t="shared" si="0"/>
        <v>W05</v>
      </c>
    </row>
    <row r="38" spans="1:11" hidden="1" x14ac:dyDescent="0.35">
      <c r="A38" s="4">
        <v>46056</v>
      </c>
      <c r="B38" s="12"/>
      <c r="C38" s="13"/>
      <c r="D38" s="14"/>
      <c r="E38" s="15"/>
      <c r="F38" s="15"/>
      <c r="G38" s="16"/>
      <c r="H38" s="15"/>
      <c r="I38" s="17"/>
      <c r="J38" s="18"/>
      <c r="K38" t="str">
        <f t="shared" si="0"/>
        <v>W05</v>
      </c>
    </row>
    <row r="39" spans="1:11" hidden="1" x14ac:dyDescent="0.35">
      <c r="A39" s="4">
        <v>46057</v>
      </c>
      <c r="B39" s="12"/>
      <c r="C39" s="13"/>
      <c r="D39" s="14"/>
      <c r="E39" s="15"/>
      <c r="F39" s="15"/>
      <c r="G39" s="16"/>
      <c r="H39" s="15"/>
      <c r="I39" s="17"/>
      <c r="J39" s="18"/>
      <c r="K39" t="str">
        <f t="shared" si="0"/>
        <v>W05</v>
      </c>
    </row>
    <row r="40" spans="1:11" hidden="1" x14ac:dyDescent="0.35">
      <c r="A40" s="4">
        <v>46058</v>
      </c>
      <c r="B40" s="12"/>
      <c r="C40" s="13"/>
      <c r="D40" s="14"/>
      <c r="E40" s="15"/>
      <c r="F40" s="15"/>
      <c r="G40" s="16"/>
      <c r="H40" s="15"/>
      <c r="I40" s="17"/>
      <c r="J40" s="18"/>
      <c r="K40" t="str">
        <f t="shared" si="0"/>
        <v>W06</v>
      </c>
    </row>
    <row r="41" spans="1:11" hidden="1" x14ac:dyDescent="0.35">
      <c r="A41" s="4">
        <v>46059</v>
      </c>
      <c r="B41" s="12"/>
      <c r="C41" s="13"/>
      <c r="D41" s="14"/>
      <c r="E41" s="15"/>
      <c r="F41" s="15"/>
      <c r="G41" s="16"/>
      <c r="H41" s="15"/>
      <c r="I41" s="17"/>
      <c r="J41" s="18"/>
      <c r="K41" t="str">
        <f t="shared" si="0"/>
        <v>W06</v>
      </c>
    </row>
    <row r="42" spans="1:11" hidden="1" x14ac:dyDescent="0.35">
      <c r="A42" s="4">
        <v>46060</v>
      </c>
      <c r="B42" s="12"/>
      <c r="C42" s="13"/>
      <c r="D42" s="14"/>
      <c r="E42" s="15"/>
      <c r="F42" s="15"/>
      <c r="G42" s="16"/>
      <c r="H42" s="15"/>
      <c r="I42" s="17"/>
      <c r="J42" s="18"/>
      <c r="K42" t="str">
        <f t="shared" si="0"/>
        <v>W06</v>
      </c>
    </row>
    <row r="43" spans="1:11" hidden="1" x14ac:dyDescent="0.35">
      <c r="A43" s="4">
        <v>46061</v>
      </c>
      <c r="B43" s="12"/>
      <c r="C43" s="13"/>
      <c r="D43" s="14"/>
      <c r="E43" s="15"/>
      <c r="F43" s="15"/>
      <c r="G43" s="16"/>
      <c r="H43" s="15"/>
      <c r="I43" s="17"/>
      <c r="J43" s="18"/>
      <c r="K43" t="str">
        <f t="shared" si="0"/>
        <v>W06</v>
      </c>
    </row>
    <row r="44" spans="1:11" hidden="1" x14ac:dyDescent="0.35">
      <c r="A44" s="4">
        <v>46062</v>
      </c>
      <c r="B44" s="12"/>
      <c r="C44" s="13"/>
      <c r="D44" s="14"/>
      <c r="E44" s="15"/>
      <c r="F44" s="15"/>
      <c r="G44" s="16"/>
      <c r="H44" s="15"/>
      <c r="I44" s="17"/>
      <c r="J44" s="18"/>
      <c r="K44" t="str">
        <f t="shared" si="0"/>
        <v>W06</v>
      </c>
    </row>
    <row r="45" spans="1:11" hidden="1" x14ac:dyDescent="0.35">
      <c r="A45" s="4">
        <v>46063</v>
      </c>
      <c r="B45" s="12"/>
      <c r="C45" s="13"/>
      <c r="D45" s="14"/>
      <c r="E45" s="15"/>
      <c r="F45" s="15"/>
      <c r="G45" s="16"/>
      <c r="H45" s="15"/>
      <c r="I45" s="17"/>
      <c r="J45" s="18"/>
      <c r="K45" t="str">
        <f t="shared" si="0"/>
        <v>W06</v>
      </c>
    </row>
    <row r="46" spans="1:11" hidden="1" x14ac:dyDescent="0.35">
      <c r="A46" s="4">
        <v>46064</v>
      </c>
      <c r="B46" s="12"/>
      <c r="C46" s="13"/>
      <c r="D46" s="14"/>
      <c r="E46" s="15"/>
      <c r="F46" s="15"/>
      <c r="G46" s="16"/>
      <c r="H46" s="15"/>
      <c r="I46" s="17"/>
      <c r="J46" s="18"/>
      <c r="K46" t="str">
        <f t="shared" si="0"/>
        <v>W06</v>
      </c>
    </row>
    <row r="47" spans="1:11" hidden="1" x14ac:dyDescent="0.35">
      <c r="A47" s="4">
        <v>46065</v>
      </c>
      <c r="B47" s="12"/>
      <c r="C47" s="13"/>
      <c r="D47" s="14"/>
      <c r="E47" s="15"/>
      <c r="F47" s="15"/>
      <c r="G47" s="16"/>
      <c r="H47" s="15"/>
      <c r="I47" s="17"/>
      <c r="J47" s="18"/>
      <c r="K47" t="str">
        <f t="shared" si="0"/>
        <v>W07</v>
      </c>
    </row>
    <row r="48" spans="1:11" hidden="1" x14ac:dyDescent="0.35">
      <c r="A48" s="4">
        <v>46066</v>
      </c>
      <c r="B48" s="12"/>
      <c r="C48" s="13"/>
      <c r="D48" s="14"/>
      <c r="E48" s="15"/>
      <c r="F48" s="15"/>
      <c r="G48" s="16"/>
      <c r="H48" s="15"/>
      <c r="I48" s="17"/>
      <c r="J48" s="18"/>
      <c r="K48" t="str">
        <f t="shared" si="0"/>
        <v>W07</v>
      </c>
    </row>
    <row r="49" spans="1:11" hidden="1" x14ac:dyDescent="0.35">
      <c r="A49" s="4">
        <v>46067</v>
      </c>
      <c r="B49" s="12"/>
      <c r="C49" s="13"/>
      <c r="D49" s="14"/>
      <c r="E49" s="15"/>
      <c r="F49" s="15"/>
      <c r="G49" s="16"/>
      <c r="H49" s="15"/>
      <c r="I49" s="17"/>
      <c r="J49" s="18"/>
      <c r="K49" t="str">
        <f t="shared" si="0"/>
        <v>W07</v>
      </c>
    </row>
    <row r="50" spans="1:11" hidden="1" x14ac:dyDescent="0.35">
      <c r="A50" s="4">
        <v>46068</v>
      </c>
      <c r="B50" s="12"/>
      <c r="C50" s="13"/>
      <c r="D50" s="14"/>
      <c r="E50" s="15"/>
      <c r="F50" s="15"/>
      <c r="G50" s="16"/>
      <c r="H50" s="15"/>
      <c r="I50" s="17"/>
      <c r="J50" s="18"/>
      <c r="K50" t="str">
        <f t="shared" si="0"/>
        <v>W07</v>
      </c>
    </row>
    <row r="51" spans="1:11" hidden="1" x14ac:dyDescent="0.35">
      <c r="A51" s="4">
        <v>46069</v>
      </c>
      <c r="B51" s="12"/>
      <c r="C51" s="13"/>
      <c r="D51" s="14"/>
      <c r="E51" s="15"/>
      <c r="F51" s="15"/>
      <c r="G51" s="16"/>
      <c r="H51" s="15"/>
      <c r="I51" s="17"/>
      <c r="J51" s="18"/>
      <c r="K51" t="str">
        <f t="shared" si="0"/>
        <v>W07</v>
      </c>
    </row>
    <row r="52" spans="1:11" hidden="1" x14ac:dyDescent="0.35">
      <c r="A52" s="4">
        <v>46070</v>
      </c>
      <c r="B52" s="12"/>
      <c r="C52" s="13"/>
      <c r="D52" s="14"/>
      <c r="E52" s="15"/>
      <c r="F52" s="15"/>
      <c r="G52" s="16"/>
      <c r="H52" s="15"/>
      <c r="I52" s="17"/>
      <c r="J52" s="18"/>
      <c r="K52" t="str">
        <f t="shared" si="0"/>
        <v>W07</v>
      </c>
    </row>
    <row r="53" spans="1:11" hidden="1" x14ac:dyDescent="0.35">
      <c r="A53" s="4">
        <v>46071</v>
      </c>
      <c r="B53" s="12"/>
      <c r="C53" s="13"/>
      <c r="D53" s="14"/>
      <c r="E53" s="15"/>
      <c r="F53" s="15"/>
      <c r="G53" s="16"/>
      <c r="H53" s="15"/>
      <c r="I53" s="17"/>
      <c r="J53" s="18"/>
      <c r="K53" t="str">
        <f t="shared" si="0"/>
        <v>W07</v>
      </c>
    </row>
    <row r="54" spans="1:11" hidden="1" x14ac:dyDescent="0.35">
      <c r="A54" s="4">
        <v>46072</v>
      </c>
      <c r="B54" s="12"/>
      <c r="C54" s="13"/>
      <c r="D54" s="14"/>
      <c r="E54" s="15"/>
      <c r="F54" s="15"/>
      <c r="G54" s="16"/>
      <c r="H54" s="15"/>
      <c r="I54" s="17"/>
      <c r="J54" s="18"/>
      <c r="K54" t="str">
        <f t="shared" si="0"/>
        <v>W08</v>
      </c>
    </row>
    <row r="55" spans="1:11" hidden="1" x14ac:dyDescent="0.35">
      <c r="A55" s="4">
        <v>46073</v>
      </c>
      <c r="B55" s="12"/>
      <c r="C55" s="13"/>
      <c r="D55" s="14"/>
      <c r="E55" s="15"/>
      <c r="F55" s="15"/>
      <c r="G55" s="16"/>
      <c r="H55" s="15"/>
      <c r="I55" s="17"/>
      <c r="J55" s="18"/>
      <c r="K55" t="str">
        <f t="shared" si="0"/>
        <v>W08</v>
      </c>
    </row>
    <row r="56" spans="1:11" hidden="1" x14ac:dyDescent="0.35">
      <c r="A56" s="4">
        <v>46074</v>
      </c>
      <c r="B56" s="12"/>
      <c r="C56" s="13"/>
      <c r="D56" s="14"/>
      <c r="E56" s="15"/>
      <c r="F56" s="15"/>
      <c r="G56" s="16"/>
      <c r="H56" s="15"/>
      <c r="I56" s="17"/>
      <c r="J56" s="18"/>
      <c r="K56" t="str">
        <f t="shared" si="0"/>
        <v>W08</v>
      </c>
    </row>
    <row r="57" spans="1:11" hidden="1" x14ac:dyDescent="0.35">
      <c r="A57" s="4">
        <v>46075</v>
      </c>
      <c r="B57" s="12"/>
      <c r="C57" s="13"/>
      <c r="D57" s="14"/>
      <c r="E57" s="15"/>
      <c r="F57" s="15"/>
      <c r="G57" s="16"/>
      <c r="H57" s="15"/>
      <c r="I57" s="17"/>
      <c r="J57" s="18"/>
      <c r="K57" t="str">
        <f t="shared" si="0"/>
        <v>W08</v>
      </c>
    </row>
    <row r="58" spans="1:11" hidden="1" x14ac:dyDescent="0.35">
      <c r="A58" s="4">
        <v>46076</v>
      </c>
      <c r="B58" s="12"/>
      <c r="C58" s="13"/>
      <c r="D58" s="14"/>
      <c r="E58" s="15"/>
      <c r="F58" s="15"/>
      <c r="G58" s="16"/>
      <c r="H58" s="15"/>
      <c r="I58" s="17"/>
      <c r="J58" s="18"/>
      <c r="K58" t="str">
        <f t="shared" si="0"/>
        <v>W08</v>
      </c>
    </row>
    <row r="59" spans="1:11" hidden="1" x14ac:dyDescent="0.35">
      <c r="A59" s="4">
        <v>46077</v>
      </c>
      <c r="B59" s="12"/>
      <c r="C59" s="13"/>
      <c r="D59" s="14"/>
      <c r="E59" s="15"/>
      <c r="F59" s="15"/>
      <c r="G59" s="16"/>
      <c r="H59" s="15"/>
      <c r="I59" s="17"/>
      <c r="J59" s="18"/>
      <c r="K59" t="str">
        <f t="shared" si="0"/>
        <v>W08</v>
      </c>
    </row>
    <row r="60" spans="1:11" hidden="1" x14ac:dyDescent="0.35">
      <c r="A60" s="4">
        <v>46078</v>
      </c>
      <c r="B60" s="12"/>
      <c r="C60" s="13"/>
      <c r="D60" s="14"/>
      <c r="E60" s="15"/>
      <c r="F60" s="15"/>
      <c r="G60" s="16"/>
      <c r="H60" s="15"/>
      <c r="I60" s="17"/>
      <c r="J60" s="18"/>
      <c r="K60" t="str">
        <f t="shared" si="0"/>
        <v>W08</v>
      </c>
    </row>
    <row r="61" spans="1:11" hidden="1" x14ac:dyDescent="0.35">
      <c r="A61" s="4">
        <v>46079</v>
      </c>
      <c r="B61" s="12"/>
      <c r="C61" s="13"/>
      <c r="D61" s="14"/>
      <c r="E61" s="15"/>
      <c r="F61" s="15"/>
      <c r="G61" s="16"/>
      <c r="H61" s="15"/>
      <c r="I61" s="17"/>
      <c r="J61" s="18"/>
      <c r="K61" t="str">
        <f t="shared" si="0"/>
        <v>W09</v>
      </c>
    </row>
    <row r="62" spans="1:11" hidden="1" x14ac:dyDescent="0.35">
      <c r="A62" s="4">
        <v>46080</v>
      </c>
      <c r="B62" s="12"/>
      <c r="C62" s="13"/>
      <c r="D62" s="14"/>
      <c r="E62" s="15"/>
      <c r="F62" s="15"/>
      <c r="G62" s="16"/>
      <c r="H62" s="15"/>
      <c r="I62" s="17"/>
      <c r="J62" s="18"/>
      <c r="K62" t="str">
        <f t="shared" si="0"/>
        <v>W09</v>
      </c>
    </row>
    <row r="63" spans="1:11" hidden="1" x14ac:dyDescent="0.35">
      <c r="A63" s="4">
        <v>46081</v>
      </c>
      <c r="B63" s="12"/>
      <c r="C63" s="13"/>
      <c r="D63" s="14"/>
      <c r="E63" s="15"/>
      <c r="F63" s="15"/>
      <c r="G63" s="16"/>
      <c r="H63" s="15"/>
      <c r="I63" s="17"/>
      <c r="J63" s="18"/>
      <c r="K63" t="str">
        <f t="shared" si="0"/>
        <v>W09</v>
      </c>
    </row>
    <row r="64" spans="1:11" hidden="1" x14ac:dyDescent="0.35">
      <c r="A64" s="4">
        <v>46082</v>
      </c>
      <c r="B64" s="12"/>
      <c r="C64" s="13"/>
      <c r="D64" s="14"/>
      <c r="E64" s="15"/>
      <c r="F64" s="15"/>
      <c r="G64" s="16"/>
      <c r="H64" s="15"/>
      <c r="I64" s="17"/>
      <c r="J64" s="18"/>
      <c r="K64" t="str">
        <f t="shared" si="0"/>
        <v>W09</v>
      </c>
    </row>
    <row r="65" spans="1:11" hidden="1" x14ac:dyDescent="0.35">
      <c r="A65" s="4">
        <v>46083</v>
      </c>
      <c r="B65" s="12"/>
      <c r="C65" s="13"/>
      <c r="D65" s="14"/>
      <c r="E65" s="15"/>
      <c r="F65" s="15"/>
      <c r="G65" s="16"/>
      <c r="H65" s="15"/>
      <c r="I65" s="17"/>
      <c r="J65" s="18"/>
      <c r="K65" t="str">
        <f t="shared" si="0"/>
        <v>W09</v>
      </c>
    </row>
    <row r="66" spans="1:11" hidden="1" x14ac:dyDescent="0.35">
      <c r="A66" s="4">
        <v>46084</v>
      </c>
      <c r="B66" s="12"/>
      <c r="C66" s="13"/>
      <c r="D66" s="14"/>
      <c r="E66" s="15"/>
      <c r="F66" s="15"/>
      <c r="G66" s="16"/>
      <c r="H66" s="15"/>
      <c r="I66" s="17"/>
      <c r="J66" s="18"/>
      <c r="K66" t="str">
        <f t="shared" si="0"/>
        <v>W09</v>
      </c>
    </row>
    <row r="67" spans="1:11" hidden="1" x14ac:dyDescent="0.35">
      <c r="A67" s="4">
        <v>46085</v>
      </c>
      <c r="B67" s="12"/>
      <c r="C67" s="13"/>
      <c r="D67" s="14"/>
      <c r="E67" s="15"/>
      <c r="F67" s="15"/>
      <c r="G67" s="16"/>
      <c r="H67" s="15"/>
      <c r="I67" s="17"/>
      <c r="J67" s="18"/>
      <c r="K67" t="str">
        <f t="shared" si="0"/>
        <v>W09</v>
      </c>
    </row>
    <row r="68" spans="1:11" hidden="1" x14ac:dyDescent="0.35">
      <c r="A68" s="4">
        <v>46086</v>
      </c>
      <c r="B68" s="12"/>
      <c r="C68" s="13"/>
      <c r="D68" s="14"/>
      <c r="E68" s="15"/>
      <c r="F68" s="15"/>
      <c r="G68" s="16"/>
      <c r="H68" s="15"/>
      <c r="I68" s="17"/>
      <c r="J68" s="18"/>
      <c r="K68" t="str">
        <f t="shared" si="0"/>
        <v>W10</v>
      </c>
    </row>
    <row r="69" spans="1:11" hidden="1" x14ac:dyDescent="0.35">
      <c r="A69" s="4">
        <v>46087</v>
      </c>
      <c r="B69" s="12"/>
      <c r="C69" s="13"/>
      <c r="D69" s="14"/>
      <c r="E69" s="15"/>
      <c r="F69" s="15"/>
      <c r="G69" s="16"/>
      <c r="H69" s="15"/>
      <c r="I69" s="17"/>
      <c r="J69" s="18"/>
      <c r="K69" t="str">
        <f t="shared" ref="K69:K132" si="1">"W"&amp;TEXT(INT((A69-DATE(2026,1,1))/7)+1,"00")</f>
        <v>W10</v>
      </c>
    </row>
    <row r="70" spans="1:11" hidden="1" x14ac:dyDescent="0.35">
      <c r="A70" s="4">
        <v>46088</v>
      </c>
      <c r="B70" s="12"/>
      <c r="C70" s="13"/>
      <c r="D70" s="14"/>
      <c r="E70" s="15"/>
      <c r="F70" s="15"/>
      <c r="G70" s="16"/>
      <c r="H70" s="15"/>
      <c r="I70" s="17"/>
      <c r="J70" s="18"/>
      <c r="K70" t="str">
        <f t="shared" si="1"/>
        <v>W10</v>
      </c>
    </row>
    <row r="71" spans="1:11" hidden="1" x14ac:dyDescent="0.35">
      <c r="A71" s="4">
        <v>46089</v>
      </c>
      <c r="B71" s="12"/>
      <c r="C71" s="13"/>
      <c r="D71" s="14"/>
      <c r="E71" s="15"/>
      <c r="F71" s="15"/>
      <c r="G71" s="16"/>
      <c r="H71" s="15"/>
      <c r="I71" s="17"/>
      <c r="J71" s="18"/>
      <c r="K71" t="str">
        <f t="shared" si="1"/>
        <v>W10</v>
      </c>
    </row>
    <row r="72" spans="1:11" hidden="1" x14ac:dyDescent="0.35">
      <c r="A72" s="4">
        <v>46090</v>
      </c>
      <c r="B72" s="12"/>
      <c r="C72" s="13"/>
      <c r="D72" s="14"/>
      <c r="E72" s="15"/>
      <c r="F72" s="15"/>
      <c r="G72" s="16"/>
      <c r="H72" s="15"/>
      <c r="I72" s="17"/>
      <c r="J72" s="18"/>
      <c r="K72" t="str">
        <f t="shared" si="1"/>
        <v>W10</v>
      </c>
    </row>
    <row r="73" spans="1:11" hidden="1" x14ac:dyDescent="0.35">
      <c r="A73" s="4">
        <v>46091</v>
      </c>
      <c r="B73" s="12"/>
      <c r="C73" s="13"/>
      <c r="D73" s="14"/>
      <c r="E73" s="15"/>
      <c r="F73" s="15"/>
      <c r="G73" s="16"/>
      <c r="H73" s="15"/>
      <c r="I73" s="17"/>
      <c r="J73" s="18"/>
      <c r="K73" t="str">
        <f t="shared" si="1"/>
        <v>W10</v>
      </c>
    </row>
    <row r="74" spans="1:11" hidden="1" x14ac:dyDescent="0.35">
      <c r="A74" s="4">
        <v>46092</v>
      </c>
      <c r="B74" s="12"/>
      <c r="C74" s="13"/>
      <c r="D74" s="14"/>
      <c r="E74" s="15"/>
      <c r="F74" s="15"/>
      <c r="G74" s="16"/>
      <c r="H74" s="15"/>
      <c r="I74" s="17"/>
      <c r="J74" s="18"/>
      <c r="K74" t="str">
        <f t="shared" si="1"/>
        <v>W10</v>
      </c>
    </row>
    <row r="75" spans="1:11" hidden="1" x14ac:dyDescent="0.35">
      <c r="A75" s="4">
        <v>46093</v>
      </c>
      <c r="B75" s="12"/>
      <c r="C75" s="13"/>
      <c r="D75" s="14"/>
      <c r="E75" s="15"/>
      <c r="F75" s="15"/>
      <c r="G75" s="16"/>
      <c r="H75" s="15"/>
      <c r="I75" s="17"/>
      <c r="J75" s="18"/>
      <c r="K75" t="str">
        <f t="shared" si="1"/>
        <v>W11</v>
      </c>
    </row>
    <row r="76" spans="1:11" hidden="1" x14ac:dyDescent="0.35">
      <c r="A76" s="4">
        <v>46094</v>
      </c>
      <c r="B76" s="12"/>
      <c r="C76" s="13"/>
      <c r="D76" s="14"/>
      <c r="E76" s="15"/>
      <c r="F76" s="15"/>
      <c r="G76" s="16"/>
      <c r="H76" s="15"/>
      <c r="I76" s="17"/>
      <c r="J76" s="18"/>
      <c r="K76" t="str">
        <f t="shared" si="1"/>
        <v>W11</v>
      </c>
    </row>
    <row r="77" spans="1:11" hidden="1" x14ac:dyDescent="0.35">
      <c r="A77" s="4">
        <v>46095</v>
      </c>
      <c r="B77" s="12"/>
      <c r="C77" s="13"/>
      <c r="D77" s="14"/>
      <c r="E77" s="15"/>
      <c r="F77" s="15"/>
      <c r="G77" s="16"/>
      <c r="H77" s="15"/>
      <c r="I77" s="17"/>
      <c r="J77" s="18"/>
      <c r="K77" t="str">
        <f t="shared" si="1"/>
        <v>W11</v>
      </c>
    </row>
    <row r="78" spans="1:11" hidden="1" x14ac:dyDescent="0.35">
      <c r="A78" s="4">
        <v>46096</v>
      </c>
      <c r="B78" s="12"/>
      <c r="C78" s="13"/>
      <c r="D78" s="14"/>
      <c r="E78" s="15"/>
      <c r="F78" s="15"/>
      <c r="G78" s="16"/>
      <c r="H78" s="15"/>
      <c r="I78" s="17"/>
      <c r="J78" s="18"/>
      <c r="K78" t="str">
        <f t="shared" si="1"/>
        <v>W11</v>
      </c>
    </row>
    <row r="79" spans="1:11" hidden="1" x14ac:dyDescent="0.35">
      <c r="A79" s="4">
        <v>46097</v>
      </c>
      <c r="B79" s="12"/>
      <c r="C79" s="13"/>
      <c r="D79" s="14"/>
      <c r="E79" s="15"/>
      <c r="F79" s="15"/>
      <c r="G79" s="16"/>
      <c r="H79" s="15"/>
      <c r="I79" s="17"/>
      <c r="J79" s="18"/>
      <c r="K79" t="str">
        <f t="shared" si="1"/>
        <v>W11</v>
      </c>
    </row>
    <row r="80" spans="1:11" hidden="1" x14ac:dyDescent="0.35">
      <c r="A80" s="4">
        <v>46098</v>
      </c>
      <c r="B80" s="12"/>
      <c r="C80" s="13"/>
      <c r="D80" s="14"/>
      <c r="E80" s="15"/>
      <c r="F80" s="15"/>
      <c r="G80" s="16"/>
      <c r="H80" s="15"/>
      <c r="I80" s="17"/>
      <c r="J80" s="18"/>
      <c r="K80" t="str">
        <f t="shared" si="1"/>
        <v>W11</v>
      </c>
    </row>
    <row r="81" spans="1:11" hidden="1" x14ac:dyDescent="0.35">
      <c r="A81" s="4">
        <v>46099</v>
      </c>
      <c r="B81" s="12"/>
      <c r="C81" s="13"/>
      <c r="D81" s="14"/>
      <c r="E81" s="15"/>
      <c r="F81" s="15"/>
      <c r="G81" s="16"/>
      <c r="H81" s="15"/>
      <c r="I81" s="17"/>
      <c r="J81" s="18"/>
      <c r="K81" t="str">
        <f t="shared" si="1"/>
        <v>W11</v>
      </c>
    </row>
    <row r="82" spans="1:11" hidden="1" x14ac:dyDescent="0.35">
      <c r="A82" s="4">
        <v>46100</v>
      </c>
      <c r="B82" s="12"/>
      <c r="C82" s="13"/>
      <c r="D82" s="14"/>
      <c r="E82" s="15"/>
      <c r="F82" s="15"/>
      <c r="G82" s="16"/>
      <c r="H82" s="15"/>
      <c r="I82" s="17"/>
      <c r="J82" s="18"/>
      <c r="K82" t="str">
        <f t="shared" si="1"/>
        <v>W12</v>
      </c>
    </row>
    <row r="83" spans="1:11" hidden="1" x14ac:dyDescent="0.35">
      <c r="A83" s="4">
        <v>46101</v>
      </c>
      <c r="B83" s="12"/>
      <c r="C83" s="13"/>
      <c r="D83" s="14"/>
      <c r="E83" s="15"/>
      <c r="F83" s="15"/>
      <c r="G83" s="16"/>
      <c r="H83" s="15"/>
      <c r="I83" s="17"/>
      <c r="J83" s="18"/>
      <c r="K83" t="str">
        <f t="shared" si="1"/>
        <v>W12</v>
      </c>
    </row>
    <row r="84" spans="1:11" hidden="1" x14ac:dyDescent="0.35">
      <c r="A84" s="4">
        <v>46102</v>
      </c>
      <c r="B84" s="12"/>
      <c r="C84" s="13"/>
      <c r="D84" s="14"/>
      <c r="E84" s="15"/>
      <c r="F84" s="15"/>
      <c r="G84" s="16"/>
      <c r="H84" s="15"/>
      <c r="I84" s="17"/>
      <c r="J84" s="18"/>
      <c r="K84" t="str">
        <f t="shared" si="1"/>
        <v>W12</v>
      </c>
    </row>
    <row r="85" spans="1:11" hidden="1" x14ac:dyDescent="0.35">
      <c r="A85" s="4">
        <v>46103</v>
      </c>
      <c r="B85" s="12"/>
      <c r="C85" s="13"/>
      <c r="D85" s="14"/>
      <c r="E85" s="15"/>
      <c r="F85" s="15"/>
      <c r="G85" s="16"/>
      <c r="H85" s="15"/>
      <c r="I85" s="17"/>
      <c r="J85" s="18"/>
      <c r="K85" t="str">
        <f t="shared" si="1"/>
        <v>W12</v>
      </c>
    </row>
    <row r="86" spans="1:11" hidden="1" x14ac:dyDescent="0.35">
      <c r="A86" s="4">
        <v>46104</v>
      </c>
      <c r="B86" s="12"/>
      <c r="C86" s="13"/>
      <c r="D86" s="14"/>
      <c r="E86" s="15"/>
      <c r="F86" s="15"/>
      <c r="G86" s="16"/>
      <c r="H86" s="15"/>
      <c r="I86" s="17"/>
      <c r="J86" s="18"/>
      <c r="K86" t="str">
        <f t="shared" si="1"/>
        <v>W12</v>
      </c>
    </row>
    <row r="87" spans="1:11" hidden="1" x14ac:dyDescent="0.35">
      <c r="A87" s="4">
        <v>46105</v>
      </c>
      <c r="B87" s="12"/>
      <c r="C87" s="13"/>
      <c r="D87" s="14"/>
      <c r="E87" s="15"/>
      <c r="F87" s="15"/>
      <c r="G87" s="16"/>
      <c r="H87" s="15"/>
      <c r="I87" s="17"/>
      <c r="J87" s="18"/>
      <c r="K87" t="str">
        <f t="shared" si="1"/>
        <v>W12</v>
      </c>
    </row>
    <row r="88" spans="1:11" hidden="1" x14ac:dyDescent="0.35">
      <c r="A88" s="4">
        <v>46106</v>
      </c>
      <c r="B88" s="12"/>
      <c r="C88" s="13"/>
      <c r="D88" s="14"/>
      <c r="E88" s="15"/>
      <c r="F88" s="15"/>
      <c r="G88" s="16"/>
      <c r="H88" s="15"/>
      <c r="I88" s="17"/>
      <c r="J88" s="18"/>
      <c r="K88" t="str">
        <f t="shared" si="1"/>
        <v>W12</v>
      </c>
    </row>
    <row r="89" spans="1:11" hidden="1" x14ac:dyDescent="0.35">
      <c r="A89" s="4">
        <v>46107</v>
      </c>
      <c r="B89" s="12"/>
      <c r="C89" s="13"/>
      <c r="D89" s="14"/>
      <c r="E89" s="15"/>
      <c r="F89" s="15"/>
      <c r="G89" s="16"/>
      <c r="H89" s="15"/>
      <c r="I89" s="17"/>
      <c r="J89" s="18"/>
      <c r="K89" t="str">
        <f t="shared" si="1"/>
        <v>W13</v>
      </c>
    </row>
    <row r="90" spans="1:11" hidden="1" x14ac:dyDescent="0.35">
      <c r="A90" s="4">
        <v>46108</v>
      </c>
      <c r="B90" s="12"/>
      <c r="C90" s="13"/>
      <c r="D90" s="14"/>
      <c r="E90" s="15"/>
      <c r="F90" s="15"/>
      <c r="G90" s="16"/>
      <c r="H90" s="15"/>
      <c r="I90" s="17"/>
      <c r="J90" s="18"/>
      <c r="K90" t="str">
        <f t="shared" si="1"/>
        <v>W13</v>
      </c>
    </row>
    <row r="91" spans="1:11" hidden="1" x14ac:dyDescent="0.35">
      <c r="A91" s="4">
        <v>46109</v>
      </c>
      <c r="B91" s="12"/>
      <c r="C91" s="13"/>
      <c r="D91" s="14"/>
      <c r="E91" s="15"/>
      <c r="F91" s="15"/>
      <c r="G91" s="16"/>
      <c r="H91" s="15"/>
      <c r="I91" s="17"/>
      <c r="J91" s="18"/>
      <c r="K91" t="str">
        <f t="shared" si="1"/>
        <v>W13</v>
      </c>
    </row>
    <row r="92" spans="1:11" hidden="1" x14ac:dyDescent="0.35">
      <c r="A92" s="4">
        <v>46110</v>
      </c>
      <c r="B92" s="12"/>
      <c r="C92" s="13"/>
      <c r="D92" s="14"/>
      <c r="E92" s="15"/>
      <c r="F92" s="15"/>
      <c r="G92" s="16"/>
      <c r="H92" s="15"/>
      <c r="I92" s="17"/>
      <c r="J92" s="18"/>
      <c r="K92" t="str">
        <f t="shared" si="1"/>
        <v>W13</v>
      </c>
    </row>
    <row r="93" spans="1:11" hidden="1" x14ac:dyDescent="0.35">
      <c r="A93" s="4">
        <v>46111</v>
      </c>
      <c r="B93" s="12"/>
      <c r="C93" s="13"/>
      <c r="D93" s="14"/>
      <c r="E93" s="15"/>
      <c r="F93" s="15"/>
      <c r="G93" s="16"/>
      <c r="H93" s="15"/>
      <c r="I93" s="17"/>
      <c r="J93" s="18"/>
      <c r="K93" t="str">
        <f t="shared" si="1"/>
        <v>W13</v>
      </c>
    </row>
    <row r="94" spans="1:11" hidden="1" x14ac:dyDescent="0.35">
      <c r="A94" s="4">
        <v>46112</v>
      </c>
      <c r="B94" s="12"/>
      <c r="C94" s="13"/>
      <c r="D94" s="14"/>
      <c r="E94" s="15"/>
      <c r="F94" s="15"/>
      <c r="G94" s="16"/>
      <c r="H94" s="15"/>
      <c r="I94" s="17"/>
      <c r="J94" s="18"/>
      <c r="K94" t="str">
        <f t="shared" si="1"/>
        <v>W13</v>
      </c>
    </row>
    <row r="95" spans="1:11" hidden="1" x14ac:dyDescent="0.35">
      <c r="A95" s="4">
        <v>46113</v>
      </c>
      <c r="B95" s="12"/>
      <c r="C95" s="13"/>
      <c r="D95" s="14"/>
      <c r="E95" s="15"/>
      <c r="F95" s="15"/>
      <c r="G95" s="16"/>
      <c r="H95" s="15"/>
      <c r="I95" s="17"/>
      <c r="J95" s="18"/>
      <c r="K95" t="str">
        <f t="shared" si="1"/>
        <v>W13</v>
      </c>
    </row>
    <row r="96" spans="1:11" hidden="1" x14ac:dyDescent="0.35">
      <c r="A96" s="4">
        <v>46114</v>
      </c>
      <c r="B96" s="12"/>
      <c r="C96" s="13"/>
      <c r="D96" s="14"/>
      <c r="E96" s="15"/>
      <c r="F96" s="15"/>
      <c r="G96" s="16"/>
      <c r="H96" s="15"/>
      <c r="I96" s="17"/>
      <c r="J96" s="18"/>
      <c r="K96" t="str">
        <f t="shared" si="1"/>
        <v>W14</v>
      </c>
    </row>
    <row r="97" spans="1:11" hidden="1" x14ac:dyDescent="0.35">
      <c r="A97" s="4">
        <v>46115</v>
      </c>
      <c r="B97" s="12"/>
      <c r="C97" s="13"/>
      <c r="D97" s="14"/>
      <c r="E97" s="15"/>
      <c r="F97" s="15"/>
      <c r="G97" s="16"/>
      <c r="H97" s="15"/>
      <c r="I97" s="17"/>
      <c r="J97" s="18"/>
      <c r="K97" t="str">
        <f t="shared" si="1"/>
        <v>W14</v>
      </c>
    </row>
    <row r="98" spans="1:11" hidden="1" x14ac:dyDescent="0.35">
      <c r="A98" s="4">
        <v>46116</v>
      </c>
      <c r="B98" s="12"/>
      <c r="C98" s="13"/>
      <c r="D98" s="14"/>
      <c r="E98" s="15"/>
      <c r="F98" s="15"/>
      <c r="G98" s="16"/>
      <c r="H98" s="15"/>
      <c r="I98" s="17"/>
      <c r="J98" s="18"/>
      <c r="K98" t="str">
        <f t="shared" si="1"/>
        <v>W14</v>
      </c>
    </row>
    <row r="99" spans="1:11" hidden="1" x14ac:dyDescent="0.35">
      <c r="A99" s="4">
        <v>46117</v>
      </c>
      <c r="B99" s="12"/>
      <c r="C99" s="13"/>
      <c r="D99" s="14"/>
      <c r="E99" s="15"/>
      <c r="F99" s="15"/>
      <c r="G99" s="16"/>
      <c r="H99" s="15"/>
      <c r="I99" s="17"/>
      <c r="J99" s="18"/>
      <c r="K99" t="str">
        <f t="shared" si="1"/>
        <v>W14</v>
      </c>
    </row>
    <row r="100" spans="1:11" hidden="1" x14ac:dyDescent="0.35">
      <c r="A100" s="4">
        <v>46118</v>
      </c>
      <c r="B100" s="12"/>
      <c r="C100" s="13"/>
      <c r="D100" s="14"/>
      <c r="E100" s="15"/>
      <c r="F100" s="15"/>
      <c r="G100" s="16"/>
      <c r="H100" s="15"/>
      <c r="I100" s="17"/>
      <c r="J100" s="18"/>
      <c r="K100" t="str">
        <f t="shared" si="1"/>
        <v>W14</v>
      </c>
    </row>
    <row r="101" spans="1:11" hidden="1" x14ac:dyDescent="0.35">
      <c r="A101" s="4">
        <v>46119</v>
      </c>
      <c r="B101" s="12"/>
      <c r="C101" s="13"/>
      <c r="D101" s="14"/>
      <c r="E101" s="15"/>
      <c r="F101" s="15"/>
      <c r="G101" s="16"/>
      <c r="H101" s="15"/>
      <c r="I101" s="17"/>
      <c r="J101" s="18"/>
      <c r="K101" t="str">
        <f t="shared" si="1"/>
        <v>W14</v>
      </c>
    </row>
    <row r="102" spans="1:11" hidden="1" x14ac:dyDescent="0.35">
      <c r="A102" s="4">
        <v>46120</v>
      </c>
      <c r="B102" s="12"/>
      <c r="C102" s="13"/>
      <c r="D102" s="14"/>
      <c r="E102" s="15"/>
      <c r="F102" s="15"/>
      <c r="G102" s="16"/>
      <c r="H102" s="15"/>
      <c r="I102" s="17"/>
      <c r="J102" s="18"/>
      <c r="K102" t="str">
        <f t="shared" si="1"/>
        <v>W14</v>
      </c>
    </row>
    <row r="103" spans="1:11" hidden="1" x14ac:dyDescent="0.35">
      <c r="A103" s="4">
        <v>46121</v>
      </c>
      <c r="B103" s="12"/>
      <c r="C103" s="13"/>
      <c r="D103" s="14"/>
      <c r="E103" s="15"/>
      <c r="F103" s="15"/>
      <c r="G103" s="16"/>
      <c r="H103" s="15"/>
      <c r="I103" s="17"/>
      <c r="J103" s="18"/>
      <c r="K103" t="str">
        <f t="shared" si="1"/>
        <v>W15</v>
      </c>
    </row>
    <row r="104" spans="1:11" hidden="1" x14ac:dyDescent="0.35">
      <c r="A104" s="4">
        <v>46122</v>
      </c>
      <c r="B104" s="12"/>
      <c r="C104" s="13"/>
      <c r="D104" s="14"/>
      <c r="E104" s="15"/>
      <c r="F104" s="15"/>
      <c r="G104" s="16"/>
      <c r="H104" s="15"/>
      <c r="I104" s="17"/>
      <c r="J104" s="18"/>
      <c r="K104" t="str">
        <f t="shared" si="1"/>
        <v>W15</v>
      </c>
    </row>
    <row r="105" spans="1:11" hidden="1" x14ac:dyDescent="0.35">
      <c r="A105" s="4">
        <v>46123</v>
      </c>
      <c r="B105" s="12"/>
      <c r="C105" s="13"/>
      <c r="D105" s="14"/>
      <c r="E105" s="15"/>
      <c r="F105" s="15"/>
      <c r="G105" s="16"/>
      <c r="H105" s="15"/>
      <c r="I105" s="17"/>
      <c r="J105" s="18"/>
      <c r="K105" t="str">
        <f t="shared" si="1"/>
        <v>W15</v>
      </c>
    </row>
    <row r="106" spans="1:11" hidden="1" x14ac:dyDescent="0.35">
      <c r="A106" s="4">
        <v>46124</v>
      </c>
      <c r="B106" s="12"/>
      <c r="C106" s="13"/>
      <c r="D106" s="14"/>
      <c r="E106" s="15"/>
      <c r="F106" s="15"/>
      <c r="G106" s="16"/>
      <c r="H106" s="15"/>
      <c r="I106" s="17"/>
      <c r="J106" s="18"/>
      <c r="K106" t="str">
        <f t="shared" si="1"/>
        <v>W15</v>
      </c>
    </row>
    <row r="107" spans="1:11" hidden="1" x14ac:dyDescent="0.35">
      <c r="A107" s="4">
        <v>46125</v>
      </c>
      <c r="B107" s="12"/>
      <c r="C107" s="13"/>
      <c r="D107" s="14"/>
      <c r="E107" s="15"/>
      <c r="F107" s="15"/>
      <c r="G107" s="16"/>
      <c r="H107" s="15"/>
      <c r="I107" s="17"/>
      <c r="J107" s="18"/>
      <c r="K107" t="str">
        <f t="shared" si="1"/>
        <v>W15</v>
      </c>
    </row>
    <row r="108" spans="1:11" hidden="1" x14ac:dyDescent="0.35">
      <c r="A108" s="4">
        <v>46126</v>
      </c>
      <c r="B108" s="12"/>
      <c r="C108" s="13"/>
      <c r="D108" s="14"/>
      <c r="E108" s="15"/>
      <c r="F108" s="15"/>
      <c r="G108" s="16"/>
      <c r="H108" s="15"/>
      <c r="I108" s="17"/>
      <c r="J108" s="18"/>
      <c r="K108" t="str">
        <f t="shared" si="1"/>
        <v>W15</v>
      </c>
    </row>
    <row r="109" spans="1:11" hidden="1" x14ac:dyDescent="0.35">
      <c r="A109" s="4">
        <v>46127</v>
      </c>
      <c r="B109" s="12"/>
      <c r="C109" s="13"/>
      <c r="D109" s="14"/>
      <c r="E109" s="15"/>
      <c r="F109" s="15"/>
      <c r="G109" s="16"/>
      <c r="H109" s="15"/>
      <c r="I109" s="17"/>
      <c r="J109" s="18"/>
      <c r="K109" t="str">
        <f t="shared" si="1"/>
        <v>W15</v>
      </c>
    </row>
    <row r="110" spans="1:11" hidden="1" x14ac:dyDescent="0.35">
      <c r="A110" s="4">
        <v>46128</v>
      </c>
      <c r="B110" s="12"/>
      <c r="C110" s="13"/>
      <c r="D110" s="14"/>
      <c r="E110" s="15"/>
      <c r="F110" s="15"/>
      <c r="G110" s="16"/>
      <c r="H110" s="15"/>
      <c r="I110" s="17"/>
      <c r="J110" s="18"/>
      <c r="K110" t="str">
        <f t="shared" si="1"/>
        <v>W16</v>
      </c>
    </row>
    <row r="111" spans="1:11" hidden="1" x14ac:dyDescent="0.35">
      <c r="A111" s="4">
        <v>46129</v>
      </c>
      <c r="B111" s="12"/>
      <c r="C111" s="13"/>
      <c r="D111" s="14"/>
      <c r="E111" s="15"/>
      <c r="F111" s="15"/>
      <c r="G111" s="16"/>
      <c r="H111" s="15"/>
      <c r="I111" s="17"/>
      <c r="J111" s="18"/>
      <c r="K111" t="str">
        <f t="shared" si="1"/>
        <v>W16</v>
      </c>
    </row>
    <row r="112" spans="1:11" hidden="1" x14ac:dyDescent="0.35">
      <c r="A112" s="4">
        <v>46130</v>
      </c>
      <c r="B112" s="12"/>
      <c r="C112" s="13"/>
      <c r="D112" s="14"/>
      <c r="E112" s="15"/>
      <c r="F112" s="15"/>
      <c r="G112" s="16"/>
      <c r="H112" s="15"/>
      <c r="I112" s="17"/>
      <c r="J112" s="18"/>
      <c r="K112" t="str">
        <f t="shared" si="1"/>
        <v>W16</v>
      </c>
    </row>
    <row r="113" spans="1:11" hidden="1" x14ac:dyDescent="0.35">
      <c r="A113" s="4">
        <v>46131</v>
      </c>
      <c r="B113" s="12"/>
      <c r="C113" s="13"/>
      <c r="D113" s="14"/>
      <c r="E113" s="15"/>
      <c r="F113" s="15"/>
      <c r="G113" s="16"/>
      <c r="H113" s="15"/>
      <c r="I113" s="17"/>
      <c r="J113" s="18"/>
      <c r="K113" t="str">
        <f t="shared" si="1"/>
        <v>W16</v>
      </c>
    </row>
    <row r="114" spans="1:11" hidden="1" x14ac:dyDescent="0.35">
      <c r="A114" s="4">
        <v>46132</v>
      </c>
      <c r="B114" s="12"/>
      <c r="C114" s="13"/>
      <c r="D114" s="14"/>
      <c r="E114" s="15"/>
      <c r="F114" s="15"/>
      <c r="G114" s="16"/>
      <c r="H114" s="15"/>
      <c r="I114" s="17"/>
      <c r="J114" s="18"/>
      <c r="K114" t="str">
        <f t="shared" si="1"/>
        <v>W16</v>
      </c>
    </row>
    <row r="115" spans="1:11" hidden="1" x14ac:dyDescent="0.35">
      <c r="A115" s="4">
        <v>46133</v>
      </c>
      <c r="B115" s="12"/>
      <c r="C115" s="13"/>
      <c r="D115" s="14"/>
      <c r="E115" s="15"/>
      <c r="F115" s="15"/>
      <c r="G115" s="16"/>
      <c r="H115" s="15"/>
      <c r="I115" s="17"/>
      <c r="J115" s="18"/>
      <c r="K115" t="str">
        <f t="shared" si="1"/>
        <v>W16</v>
      </c>
    </row>
    <row r="116" spans="1:11" hidden="1" x14ac:dyDescent="0.35">
      <c r="A116" s="4">
        <v>46134</v>
      </c>
      <c r="B116" s="12"/>
      <c r="C116" s="13"/>
      <c r="D116" s="14"/>
      <c r="E116" s="15"/>
      <c r="F116" s="15"/>
      <c r="G116" s="16"/>
      <c r="H116" s="15"/>
      <c r="I116" s="17"/>
      <c r="J116" s="18"/>
      <c r="K116" t="str">
        <f t="shared" si="1"/>
        <v>W16</v>
      </c>
    </row>
    <row r="117" spans="1:11" hidden="1" x14ac:dyDescent="0.35">
      <c r="A117" s="4">
        <v>46135</v>
      </c>
      <c r="B117" s="12"/>
      <c r="C117" s="13"/>
      <c r="D117" s="14"/>
      <c r="E117" s="15"/>
      <c r="F117" s="15"/>
      <c r="G117" s="16"/>
      <c r="H117" s="15"/>
      <c r="I117" s="17"/>
      <c r="J117" s="18"/>
      <c r="K117" t="str">
        <f t="shared" si="1"/>
        <v>W17</v>
      </c>
    </row>
    <row r="118" spans="1:11" hidden="1" x14ac:dyDescent="0.35">
      <c r="A118" s="4">
        <v>46136</v>
      </c>
      <c r="B118" s="12"/>
      <c r="C118" s="13"/>
      <c r="D118" s="14"/>
      <c r="E118" s="15"/>
      <c r="F118" s="15"/>
      <c r="G118" s="16"/>
      <c r="H118" s="15"/>
      <c r="I118" s="17"/>
      <c r="J118" s="18"/>
      <c r="K118" t="str">
        <f t="shared" si="1"/>
        <v>W17</v>
      </c>
    </row>
    <row r="119" spans="1:11" hidden="1" x14ac:dyDescent="0.35">
      <c r="A119" s="4">
        <v>46137</v>
      </c>
      <c r="B119" s="12"/>
      <c r="C119" s="13"/>
      <c r="D119" s="14"/>
      <c r="E119" s="15"/>
      <c r="F119" s="15"/>
      <c r="G119" s="16"/>
      <c r="H119" s="15"/>
      <c r="I119" s="17"/>
      <c r="J119" s="18"/>
      <c r="K119" t="str">
        <f t="shared" si="1"/>
        <v>W17</v>
      </c>
    </row>
    <row r="120" spans="1:11" hidden="1" x14ac:dyDescent="0.35">
      <c r="A120" s="4">
        <v>46138</v>
      </c>
      <c r="B120" s="12"/>
      <c r="C120" s="13"/>
      <c r="D120" s="14"/>
      <c r="E120" s="15"/>
      <c r="F120" s="15"/>
      <c r="G120" s="16"/>
      <c r="H120" s="15"/>
      <c r="I120" s="17"/>
      <c r="J120" s="18"/>
      <c r="K120" t="str">
        <f t="shared" si="1"/>
        <v>W17</v>
      </c>
    </row>
    <row r="121" spans="1:11" hidden="1" x14ac:dyDescent="0.35">
      <c r="A121" s="4">
        <v>46139</v>
      </c>
      <c r="B121" s="12"/>
      <c r="C121" s="13"/>
      <c r="D121" s="14"/>
      <c r="E121" s="15"/>
      <c r="F121" s="15"/>
      <c r="G121" s="16"/>
      <c r="H121" s="15"/>
      <c r="I121" s="17"/>
      <c r="J121" s="18"/>
      <c r="K121" t="str">
        <f t="shared" si="1"/>
        <v>W17</v>
      </c>
    </row>
    <row r="122" spans="1:11" hidden="1" x14ac:dyDescent="0.35">
      <c r="A122" s="4">
        <v>46140</v>
      </c>
      <c r="B122" s="12"/>
      <c r="C122" s="13"/>
      <c r="D122" s="14"/>
      <c r="E122" s="15"/>
      <c r="F122" s="15"/>
      <c r="G122" s="16"/>
      <c r="H122" s="15"/>
      <c r="I122" s="17"/>
      <c r="J122" s="18"/>
      <c r="K122" t="str">
        <f t="shared" si="1"/>
        <v>W17</v>
      </c>
    </row>
    <row r="123" spans="1:11" hidden="1" x14ac:dyDescent="0.35">
      <c r="A123" s="4">
        <v>46141</v>
      </c>
      <c r="B123" s="12"/>
      <c r="C123" s="13"/>
      <c r="D123" s="14"/>
      <c r="E123" s="15"/>
      <c r="F123" s="15"/>
      <c r="G123" s="16"/>
      <c r="H123" s="15"/>
      <c r="I123" s="17"/>
      <c r="J123" s="18"/>
      <c r="K123" t="str">
        <f t="shared" si="1"/>
        <v>W17</v>
      </c>
    </row>
    <row r="124" spans="1:11" hidden="1" x14ac:dyDescent="0.35">
      <c r="A124" s="4">
        <v>46142</v>
      </c>
      <c r="B124" s="12"/>
      <c r="C124" s="13"/>
      <c r="D124" s="14"/>
      <c r="E124" s="15"/>
      <c r="F124" s="15"/>
      <c r="G124" s="16"/>
      <c r="H124" s="15"/>
      <c r="I124" s="17"/>
      <c r="J124" s="18"/>
      <c r="K124" t="str">
        <f t="shared" si="1"/>
        <v>W18</v>
      </c>
    </row>
    <row r="125" spans="1:11" hidden="1" x14ac:dyDescent="0.35">
      <c r="A125" s="4">
        <v>46143</v>
      </c>
      <c r="B125" s="12"/>
      <c r="C125" s="13"/>
      <c r="D125" s="14"/>
      <c r="E125" s="15"/>
      <c r="F125" s="15"/>
      <c r="G125" s="16"/>
      <c r="H125" s="15"/>
      <c r="I125" s="17"/>
      <c r="J125" s="18"/>
      <c r="K125" t="str">
        <f t="shared" si="1"/>
        <v>W18</v>
      </c>
    </row>
    <row r="126" spans="1:11" hidden="1" x14ac:dyDescent="0.35">
      <c r="A126" s="4">
        <v>46144</v>
      </c>
      <c r="B126" s="12"/>
      <c r="C126" s="13"/>
      <c r="D126" s="14"/>
      <c r="E126" s="15"/>
      <c r="F126" s="15"/>
      <c r="G126" s="16"/>
      <c r="H126" s="15"/>
      <c r="I126" s="17"/>
      <c r="J126" s="18"/>
      <c r="K126" t="str">
        <f t="shared" si="1"/>
        <v>W18</v>
      </c>
    </row>
    <row r="127" spans="1:11" hidden="1" x14ac:dyDescent="0.35">
      <c r="A127" s="4">
        <v>46145</v>
      </c>
      <c r="B127" s="12"/>
      <c r="C127" s="13"/>
      <c r="D127" s="14"/>
      <c r="E127" s="15"/>
      <c r="F127" s="15"/>
      <c r="G127" s="16"/>
      <c r="H127" s="15"/>
      <c r="I127" s="17"/>
      <c r="J127" s="18"/>
      <c r="K127" t="str">
        <f t="shared" si="1"/>
        <v>W18</v>
      </c>
    </row>
    <row r="128" spans="1:11" hidden="1" x14ac:dyDescent="0.35">
      <c r="A128" s="4">
        <v>46146</v>
      </c>
      <c r="B128" s="12"/>
      <c r="C128" s="13"/>
      <c r="D128" s="14"/>
      <c r="E128" s="15"/>
      <c r="F128" s="15"/>
      <c r="G128" s="16"/>
      <c r="H128" s="15"/>
      <c r="I128" s="17"/>
      <c r="J128" s="18"/>
      <c r="K128" t="str">
        <f t="shared" si="1"/>
        <v>W18</v>
      </c>
    </row>
    <row r="129" spans="1:11" hidden="1" x14ac:dyDescent="0.35">
      <c r="A129" s="4">
        <v>46147</v>
      </c>
      <c r="B129" s="12"/>
      <c r="C129" s="13"/>
      <c r="D129" s="14"/>
      <c r="E129" s="15"/>
      <c r="F129" s="15"/>
      <c r="G129" s="16"/>
      <c r="H129" s="15"/>
      <c r="I129" s="17"/>
      <c r="J129" s="18"/>
      <c r="K129" t="str">
        <f t="shared" si="1"/>
        <v>W18</v>
      </c>
    </row>
    <row r="130" spans="1:11" hidden="1" x14ac:dyDescent="0.35">
      <c r="A130" s="4">
        <v>46148</v>
      </c>
      <c r="B130" s="12"/>
      <c r="C130" s="13"/>
      <c r="D130" s="14"/>
      <c r="E130" s="15"/>
      <c r="F130" s="15"/>
      <c r="G130" s="16"/>
      <c r="H130" s="15"/>
      <c r="I130" s="17"/>
      <c r="J130" s="18"/>
      <c r="K130" t="str">
        <f t="shared" si="1"/>
        <v>W18</v>
      </c>
    </row>
    <row r="131" spans="1:11" hidden="1" x14ac:dyDescent="0.35">
      <c r="A131" s="4">
        <v>46149</v>
      </c>
      <c r="B131" s="12"/>
      <c r="C131" s="13"/>
      <c r="D131" s="14"/>
      <c r="E131" s="15"/>
      <c r="F131" s="15"/>
      <c r="G131" s="16"/>
      <c r="H131" s="15"/>
      <c r="I131" s="17"/>
      <c r="J131" s="18"/>
      <c r="K131" t="str">
        <f t="shared" si="1"/>
        <v>W19</v>
      </c>
    </row>
    <row r="132" spans="1:11" hidden="1" x14ac:dyDescent="0.35">
      <c r="A132" s="4">
        <v>46150</v>
      </c>
      <c r="B132" s="12"/>
      <c r="C132" s="13"/>
      <c r="D132" s="14"/>
      <c r="E132" s="15"/>
      <c r="F132" s="15"/>
      <c r="G132" s="16"/>
      <c r="H132" s="15"/>
      <c r="I132" s="17"/>
      <c r="J132" s="18"/>
      <c r="K132" t="str">
        <f t="shared" si="1"/>
        <v>W19</v>
      </c>
    </row>
    <row r="133" spans="1:11" hidden="1" x14ac:dyDescent="0.35">
      <c r="A133" s="4">
        <v>46151</v>
      </c>
      <c r="B133" s="12"/>
      <c r="C133" s="13"/>
      <c r="D133" s="14"/>
      <c r="E133" s="15"/>
      <c r="F133" s="15"/>
      <c r="G133" s="16"/>
      <c r="H133" s="15"/>
      <c r="I133" s="17"/>
      <c r="J133" s="18"/>
      <c r="K133" t="str">
        <f t="shared" ref="K133:K196" si="2">"W"&amp;TEXT(INT((A133-DATE(2026,1,1))/7)+1,"00")</f>
        <v>W19</v>
      </c>
    </row>
    <row r="134" spans="1:11" hidden="1" x14ac:dyDescent="0.35">
      <c r="A134" s="4">
        <v>46152</v>
      </c>
      <c r="B134" s="12"/>
      <c r="C134" s="13"/>
      <c r="D134" s="14"/>
      <c r="E134" s="15"/>
      <c r="F134" s="15"/>
      <c r="G134" s="16"/>
      <c r="H134" s="15"/>
      <c r="I134" s="17"/>
      <c r="J134" s="18"/>
      <c r="K134" t="str">
        <f t="shared" si="2"/>
        <v>W19</v>
      </c>
    </row>
    <row r="135" spans="1:11" hidden="1" x14ac:dyDescent="0.35">
      <c r="A135" s="4">
        <v>46153</v>
      </c>
      <c r="B135" s="12"/>
      <c r="C135" s="13"/>
      <c r="D135" s="14"/>
      <c r="E135" s="15"/>
      <c r="F135" s="15"/>
      <c r="G135" s="16"/>
      <c r="H135" s="15"/>
      <c r="I135" s="17"/>
      <c r="J135" s="18"/>
      <c r="K135" t="str">
        <f t="shared" si="2"/>
        <v>W19</v>
      </c>
    </row>
    <row r="136" spans="1:11" hidden="1" x14ac:dyDescent="0.35">
      <c r="A136" s="4">
        <v>46154</v>
      </c>
      <c r="B136" s="12"/>
      <c r="C136" s="13"/>
      <c r="D136" s="14"/>
      <c r="E136" s="15"/>
      <c r="F136" s="15"/>
      <c r="G136" s="16"/>
      <c r="H136" s="15"/>
      <c r="I136" s="17"/>
      <c r="J136" s="18"/>
      <c r="K136" t="str">
        <f t="shared" si="2"/>
        <v>W19</v>
      </c>
    </row>
    <row r="137" spans="1:11" hidden="1" x14ac:dyDescent="0.35">
      <c r="A137" s="4">
        <v>46155</v>
      </c>
      <c r="B137" s="12"/>
      <c r="C137" s="13"/>
      <c r="D137" s="14"/>
      <c r="E137" s="15"/>
      <c r="F137" s="15"/>
      <c r="G137" s="16"/>
      <c r="H137" s="15"/>
      <c r="I137" s="17"/>
      <c r="J137" s="18"/>
      <c r="K137" t="str">
        <f t="shared" si="2"/>
        <v>W19</v>
      </c>
    </row>
    <row r="138" spans="1:11" hidden="1" x14ac:dyDescent="0.35">
      <c r="A138" s="4">
        <v>46156</v>
      </c>
      <c r="B138" s="12"/>
      <c r="C138" s="13"/>
      <c r="D138" s="14"/>
      <c r="E138" s="15"/>
      <c r="F138" s="15"/>
      <c r="G138" s="16"/>
      <c r="H138" s="15"/>
      <c r="I138" s="17"/>
      <c r="J138" s="18"/>
      <c r="K138" t="str">
        <f t="shared" si="2"/>
        <v>W20</v>
      </c>
    </row>
    <row r="139" spans="1:11" hidden="1" x14ac:dyDescent="0.35">
      <c r="A139" s="4">
        <v>46157</v>
      </c>
      <c r="B139" s="12"/>
      <c r="C139" s="13"/>
      <c r="D139" s="14"/>
      <c r="E139" s="15"/>
      <c r="F139" s="15"/>
      <c r="G139" s="16"/>
      <c r="H139" s="15"/>
      <c r="I139" s="17"/>
      <c r="J139" s="18"/>
      <c r="K139" t="str">
        <f t="shared" si="2"/>
        <v>W20</v>
      </c>
    </row>
    <row r="140" spans="1:11" hidden="1" x14ac:dyDescent="0.35">
      <c r="A140" s="4">
        <v>46158</v>
      </c>
      <c r="B140" s="12"/>
      <c r="C140" s="13"/>
      <c r="D140" s="14"/>
      <c r="E140" s="15"/>
      <c r="F140" s="15"/>
      <c r="G140" s="16"/>
      <c r="H140" s="15"/>
      <c r="I140" s="17"/>
      <c r="J140" s="18"/>
      <c r="K140" t="str">
        <f t="shared" si="2"/>
        <v>W20</v>
      </c>
    </row>
    <row r="141" spans="1:11" hidden="1" x14ac:dyDescent="0.35">
      <c r="A141" s="4">
        <v>46159</v>
      </c>
      <c r="B141" s="12"/>
      <c r="C141" s="13"/>
      <c r="D141" s="14"/>
      <c r="E141" s="15"/>
      <c r="F141" s="15"/>
      <c r="G141" s="16"/>
      <c r="H141" s="15"/>
      <c r="I141" s="17"/>
      <c r="J141" s="18"/>
      <c r="K141" t="str">
        <f t="shared" si="2"/>
        <v>W20</v>
      </c>
    </row>
    <row r="142" spans="1:11" hidden="1" x14ac:dyDescent="0.35">
      <c r="A142" s="4">
        <v>46160</v>
      </c>
      <c r="B142" s="12"/>
      <c r="C142" s="13"/>
      <c r="D142" s="14"/>
      <c r="E142" s="15"/>
      <c r="F142" s="15"/>
      <c r="G142" s="16"/>
      <c r="H142" s="15"/>
      <c r="I142" s="17"/>
      <c r="J142" s="18"/>
      <c r="K142" t="str">
        <f t="shared" si="2"/>
        <v>W20</v>
      </c>
    </row>
    <row r="143" spans="1:11" hidden="1" x14ac:dyDescent="0.35">
      <c r="A143" s="4">
        <v>46161</v>
      </c>
      <c r="B143" s="12"/>
      <c r="C143" s="13"/>
      <c r="D143" s="14"/>
      <c r="E143" s="15"/>
      <c r="F143" s="15"/>
      <c r="G143" s="16"/>
      <c r="H143" s="15"/>
      <c r="I143" s="17"/>
      <c r="J143" s="18"/>
      <c r="K143" t="str">
        <f t="shared" si="2"/>
        <v>W20</v>
      </c>
    </row>
    <row r="144" spans="1:11" hidden="1" x14ac:dyDescent="0.35">
      <c r="A144" s="4">
        <v>46162</v>
      </c>
      <c r="B144" s="12"/>
      <c r="C144" s="13"/>
      <c r="D144" s="14"/>
      <c r="E144" s="15"/>
      <c r="F144" s="15"/>
      <c r="G144" s="16"/>
      <c r="H144" s="15"/>
      <c r="I144" s="17"/>
      <c r="J144" s="18"/>
      <c r="K144" t="str">
        <f t="shared" si="2"/>
        <v>W20</v>
      </c>
    </row>
    <row r="145" spans="1:11" hidden="1" x14ac:dyDescent="0.35">
      <c r="A145" s="4">
        <v>46163</v>
      </c>
      <c r="B145" s="12"/>
      <c r="C145" s="13"/>
      <c r="D145" s="14"/>
      <c r="E145" s="15"/>
      <c r="F145" s="15"/>
      <c r="G145" s="16"/>
      <c r="H145" s="15"/>
      <c r="I145" s="17"/>
      <c r="J145" s="18"/>
      <c r="K145" t="str">
        <f t="shared" si="2"/>
        <v>W21</v>
      </c>
    </row>
    <row r="146" spans="1:11" hidden="1" x14ac:dyDescent="0.35">
      <c r="A146" s="4">
        <v>46164</v>
      </c>
      <c r="B146" s="12"/>
      <c r="C146" s="13"/>
      <c r="D146" s="14"/>
      <c r="E146" s="15"/>
      <c r="F146" s="15"/>
      <c r="G146" s="16"/>
      <c r="H146" s="15"/>
      <c r="I146" s="17"/>
      <c r="J146" s="18"/>
      <c r="K146" t="str">
        <f t="shared" si="2"/>
        <v>W21</v>
      </c>
    </row>
    <row r="147" spans="1:11" hidden="1" x14ac:dyDescent="0.35">
      <c r="A147" s="4">
        <v>46165</v>
      </c>
      <c r="B147" s="12"/>
      <c r="C147" s="13"/>
      <c r="D147" s="14"/>
      <c r="E147" s="15"/>
      <c r="F147" s="15"/>
      <c r="G147" s="16"/>
      <c r="H147" s="15"/>
      <c r="I147" s="17"/>
      <c r="J147" s="18"/>
      <c r="K147" t="str">
        <f t="shared" si="2"/>
        <v>W21</v>
      </c>
    </row>
    <row r="148" spans="1:11" hidden="1" x14ac:dyDescent="0.35">
      <c r="A148" s="4">
        <v>46166</v>
      </c>
      <c r="B148" s="12"/>
      <c r="C148" s="13"/>
      <c r="D148" s="14"/>
      <c r="E148" s="15"/>
      <c r="F148" s="15"/>
      <c r="G148" s="16"/>
      <c r="H148" s="15"/>
      <c r="I148" s="17"/>
      <c r="J148" s="18"/>
      <c r="K148" t="str">
        <f t="shared" si="2"/>
        <v>W21</v>
      </c>
    </row>
    <row r="149" spans="1:11" hidden="1" x14ac:dyDescent="0.35">
      <c r="A149" s="4">
        <v>46167</v>
      </c>
      <c r="B149" s="12"/>
      <c r="C149" s="13"/>
      <c r="D149" s="14"/>
      <c r="E149" s="15"/>
      <c r="F149" s="15"/>
      <c r="G149" s="16"/>
      <c r="H149" s="15"/>
      <c r="I149" s="17"/>
      <c r="J149" s="18"/>
      <c r="K149" t="str">
        <f t="shared" si="2"/>
        <v>W21</v>
      </c>
    </row>
    <row r="150" spans="1:11" hidden="1" x14ac:dyDescent="0.35">
      <c r="A150" s="4">
        <v>46168</v>
      </c>
      <c r="B150" s="12"/>
      <c r="C150" s="13"/>
      <c r="D150" s="14"/>
      <c r="E150" s="15"/>
      <c r="F150" s="15"/>
      <c r="G150" s="16"/>
      <c r="H150" s="15"/>
      <c r="I150" s="17"/>
      <c r="J150" s="18"/>
      <c r="K150" t="str">
        <f t="shared" si="2"/>
        <v>W21</v>
      </c>
    </row>
    <row r="151" spans="1:11" hidden="1" x14ac:dyDescent="0.35">
      <c r="A151" s="4">
        <v>46169</v>
      </c>
      <c r="B151" s="12"/>
      <c r="C151" s="13"/>
      <c r="D151" s="14"/>
      <c r="E151" s="15"/>
      <c r="F151" s="15"/>
      <c r="G151" s="16"/>
      <c r="H151" s="15"/>
      <c r="I151" s="17"/>
      <c r="J151" s="18"/>
      <c r="K151" t="str">
        <f t="shared" si="2"/>
        <v>W21</v>
      </c>
    </row>
    <row r="152" spans="1:11" hidden="1" x14ac:dyDescent="0.35">
      <c r="A152" s="4">
        <v>46170</v>
      </c>
      <c r="B152" s="12"/>
      <c r="C152" s="13"/>
      <c r="D152" s="14"/>
      <c r="E152" s="15"/>
      <c r="F152" s="15"/>
      <c r="G152" s="16"/>
      <c r="H152" s="15"/>
      <c r="I152" s="17"/>
      <c r="J152" s="18"/>
      <c r="K152" t="str">
        <f t="shared" si="2"/>
        <v>W22</v>
      </c>
    </row>
    <row r="153" spans="1:11" hidden="1" x14ac:dyDescent="0.35">
      <c r="A153" s="4">
        <v>46171</v>
      </c>
      <c r="B153" s="12"/>
      <c r="C153" s="13"/>
      <c r="D153" s="14"/>
      <c r="E153" s="15"/>
      <c r="F153" s="15"/>
      <c r="G153" s="16"/>
      <c r="H153" s="15"/>
      <c r="I153" s="17"/>
      <c r="J153" s="18"/>
      <c r="K153" t="str">
        <f t="shared" si="2"/>
        <v>W22</v>
      </c>
    </row>
    <row r="154" spans="1:11" hidden="1" x14ac:dyDescent="0.35">
      <c r="A154" s="4">
        <v>46172</v>
      </c>
      <c r="B154" s="12"/>
      <c r="C154" s="13"/>
      <c r="D154" s="14"/>
      <c r="E154" s="15"/>
      <c r="F154" s="15"/>
      <c r="G154" s="16"/>
      <c r="H154" s="15"/>
      <c r="I154" s="17"/>
      <c r="J154" s="18"/>
      <c r="K154" t="str">
        <f t="shared" si="2"/>
        <v>W22</v>
      </c>
    </row>
    <row r="155" spans="1:11" hidden="1" x14ac:dyDescent="0.35">
      <c r="A155" s="4">
        <v>46173</v>
      </c>
      <c r="B155" s="12"/>
      <c r="C155" s="13"/>
      <c r="D155" s="14"/>
      <c r="E155" s="15"/>
      <c r="F155" s="15"/>
      <c r="G155" s="16"/>
      <c r="H155" s="15"/>
      <c r="I155" s="17"/>
      <c r="J155" s="18"/>
      <c r="K155" t="str">
        <f t="shared" si="2"/>
        <v>W22</v>
      </c>
    </row>
    <row r="156" spans="1:11" hidden="1" x14ac:dyDescent="0.35">
      <c r="A156" s="4">
        <v>46174</v>
      </c>
      <c r="B156" s="12"/>
      <c r="C156" s="13"/>
      <c r="D156" s="14"/>
      <c r="E156" s="15"/>
      <c r="F156" s="15"/>
      <c r="G156" s="16"/>
      <c r="H156" s="15"/>
      <c r="I156" s="17"/>
      <c r="J156" s="18"/>
      <c r="K156" t="str">
        <f t="shared" si="2"/>
        <v>W22</v>
      </c>
    </row>
    <row r="157" spans="1:11" hidden="1" x14ac:dyDescent="0.35">
      <c r="A157" s="4">
        <v>46175</v>
      </c>
      <c r="B157" s="12"/>
      <c r="C157" s="13"/>
      <c r="D157" s="14"/>
      <c r="E157" s="15"/>
      <c r="F157" s="15"/>
      <c r="G157" s="16"/>
      <c r="H157" s="15"/>
      <c r="I157" s="17"/>
      <c r="J157" s="18"/>
      <c r="K157" t="str">
        <f t="shared" si="2"/>
        <v>W22</v>
      </c>
    </row>
    <row r="158" spans="1:11" hidden="1" x14ac:dyDescent="0.35">
      <c r="A158" s="4">
        <v>46176</v>
      </c>
      <c r="B158" s="12"/>
      <c r="C158" s="13"/>
      <c r="D158" s="14"/>
      <c r="E158" s="15"/>
      <c r="F158" s="15"/>
      <c r="G158" s="16"/>
      <c r="H158" s="15"/>
      <c r="I158" s="17"/>
      <c r="J158" s="18"/>
      <c r="K158" t="str">
        <f t="shared" si="2"/>
        <v>W22</v>
      </c>
    </row>
    <row r="159" spans="1:11" hidden="1" x14ac:dyDescent="0.35">
      <c r="A159" s="4">
        <v>46177</v>
      </c>
      <c r="B159" s="12"/>
      <c r="C159" s="13"/>
      <c r="D159" s="14"/>
      <c r="E159" s="15"/>
      <c r="F159" s="15"/>
      <c r="G159" s="16"/>
      <c r="H159" s="15"/>
      <c r="I159" s="17"/>
      <c r="J159" s="18"/>
      <c r="K159" t="str">
        <f t="shared" si="2"/>
        <v>W23</v>
      </c>
    </row>
    <row r="160" spans="1:11" hidden="1" x14ac:dyDescent="0.35">
      <c r="A160" s="4">
        <v>46178</v>
      </c>
      <c r="B160" s="12"/>
      <c r="C160" s="13"/>
      <c r="D160" s="14"/>
      <c r="E160" s="15"/>
      <c r="F160" s="15"/>
      <c r="G160" s="16"/>
      <c r="H160" s="15"/>
      <c r="I160" s="17"/>
      <c r="J160" s="18"/>
      <c r="K160" t="str">
        <f t="shared" si="2"/>
        <v>W23</v>
      </c>
    </row>
    <row r="161" spans="1:11" hidden="1" x14ac:dyDescent="0.35">
      <c r="A161" s="4">
        <v>46179</v>
      </c>
      <c r="B161" s="12"/>
      <c r="C161" s="13"/>
      <c r="D161" s="14"/>
      <c r="E161" s="15"/>
      <c r="F161" s="15"/>
      <c r="G161" s="16"/>
      <c r="H161" s="15"/>
      <c r="I161" s="17"/>
      <c r="J161" s="18"/>
      <c r="K161" t="str">
        <f t="shared" si="2"/>
        <v>W23</v>
      </c>
    </row>
    <row r="162" spans="1:11" hidden="1" x14ac:dyDescent="0.35">
      <c r="A162" s="4">
        <v>46180</v>
      </c>
      <c r="B162" s="12"/>
      <c r="C162" s="13"/>
      <c r="D162" s="14"/>
      <c r="E162" s="15"/>
      <c r="F162" s="15"/>
      <c r="G162" s="16"/>
      <c r="H162" s="15"/>
      <c r="I162" s="17"/>
      <c r="J162" s="18"/>
      <c r="K162" t="str">
        <f t="shared" si="2"/>
        <v>W23</v>
      </c>
    </row>
    <row r="163" spans="1:11" hidden="1" x14ac:dyDescent="0.35">
      <c r="A163" s="4">
        <v>46181</v>
      </c>
      <c r="B163" s="12"/>
      <c r="C163" s="13"/>
      <c r="D163" s="14"/>
      <c r="E163" s="15"/>
      <c r="F163" s="15"/>
      <c r="G163" s="16"/>
      <c r="H163" s="15"/>
      <c r="I163" s="17"/>
      <c r="J163" s="18"/>
      <c r="K163" t="str">
        <f t="shared" si="2"/>
        <v>W23</v>
      </c>
    </row>
    <row r="164" spans="1:11" hidden="1" x14ac:dyDescent="0.35">
      <c r="A164" s="4">
        <v>46182</v>
      </c>
      <c r="B164" s="12"/>
      <c r="C164" s="13"/>
      <c r="D164" s="14"/>
      <c r="E164" s="15"/>
      <c r="F164" s="15"/>
      <c r="G164" s="16"/>
      <c r="H164" s="15"/>
      <c r="I164" s="17"/>
      <c r="J164" s="18"/>
      <c r="K164" t="str">
        <f t="shared" si="2"/>
        <v>W23</v>
      </c>
    </row>
    <row r="165" spans="1:11" hidden="1" x14ac:dyDescent="0.35">
      <c r="A165" s="4">
        <v>46183</v>
      </c>
      <c r="B165" s="12"/>
      <c r="C165" s="13"/>
      <c r="D165" s="14"/>
      <c r="E165" s="15"/>
      <c r="F165" s="15"/>
      <c r="G165" s="16"/>
      <c r="H165" s="15"/>
      <c r="I165" s="17"/>
      <c r="J165" s="18"/>
      <c r="K165" t="str">
        <f t="shared" si="2"/>
        <v>W23</v>
      </c>
    </row>
    <row r="166" spans="1:11" hidden="1" x14ac:dyDescent="0.35">
      <c r="A166" s="4">
        <v>46184</v>
      </c>
      <c r="B166" s="12"/>
      <c r="C166" s="13"/>
      <c r="D166" s="14"/>
      <c r="E166" s="15"/>
      <c r="F166" s="15"/>
      <c r="G166" s="16"/>
      <c r="H166" s="15"/>
      <c r="I166" s="17"/>
      <c r="J166" s="18"/>
      <c r="K166" t="str">
        <f t="shared" si="2"/>
        <v>W24</v>
      </c>
    </row>
    <row r="167" spans="1:11" hidden="1" x14ac:dyDescent="0.35">
      <c r="A167" s="4">
        <v>46185</v>
      </c>
      <c r="B167" s="12"/>
      <c r="C167" s="13"/>
      <c r="D167" s="14"/>
      <c r="E167" s="15"/>
      <c r="F167" s="15"/>
      <c r="G167" s="16"/>
      <c r="H167" s="15"/>
      <c r="I167" s="17"/>
      <c r="J167" s="18"/>
      <c r="K167" t="str">
        <f t="shared" si="2"/>
        <v>W24</v>
      </c>
    </row>
    <row r="168" spans="1:11" hidden="1" x14ac:dyDescent="0.35">
      <c r="A168" s="4">
        <v>46186</v>
      </c>
      <c r="B168" s="12"/>
      <c r="C168" s="13"/>
      <c r="D168" s="14"/>
      <c r="E168" s="15"/>
      <c r="F168" s="15"/>
      <c r="G168" s="16"/>
      <c r="H168" s="15"/>
      <c r="I168" s="17"/>
      <c r="J168" s="18"/>
      <c r="K168" t="str">
        <f t="shared" si="2"/>
        <v>W24</v>
      </c>
    </row>
    <row r="169" spans="1:11" hidden="1" x14ac:dyDescent="0.35">
      <c r="A169" s="4">
        <v>46187</v>
      </c>
      <c r="B169" s="12"/>
      <c r="C169" s="13"/>
      <c r="D169" s="14"/>
      <c r="E169" s="15"/>
      <c r="F169" s="15"/>
      <c r="G169" s="16"/>
      <c r="H169" s="15"/>
      <c r="I169" s="17"/>
      <c r="J169" s="18"/>
      <c r="K169" t="str">
        <f t="shared" si="2"/>
        <v>W24</v>
      </c>
    </row>
    <row r="170" spans="1:11" hidden="1" x14ac:dyDescent="0.35">
      <c r="A170" s="4">
        <v>46188</v>
      </c>
      <c r="B170" s="12"/>
      <c r="C170" s="13"/>
      <c r="D170" s="14"/>
      <c r="E170" s="15"/>
      <c r="F170" s="15"/>
      <c r="G170" s="16"/>
      <c r="H170" s="15"/>
      <c r="I170" s="17"/>
      <c r="J170" s="18"/>
      <c r="K170" t="str">
        <f t="shared" si="2"/>
        <v>W24</v>
      </c>
    </row>
    <row r="171" spans="1:11" hidden="1" x14ac:dyDescent="0.35">
      <c r="A171" s="4">
        <v>46189</v>
      </c>
      <c r="B171" s="12"/>
      <c r="C171" s="13"/>
      <c r="D171" s="14"/>
      <c r="E171" s="15"/>
      <c r="F171" s="15"/>
      <c r="G171" s="16"/>
      <c r="H171" s="15"/>
      <c r="I171" s="17"/>
      <c r="J171" s="18"/>
      <c r="K171" t="str">
        <f t="shared" si="2"/>
        <v>W24</v>
      </c>
    </row>
    <row r="172" spans="1:11" hidden="1" x14ac:dyDescent="0.35">
      <c r="A172" s="4">
        <v>46190</v>
      </c>
      <c r="B172" s="12"/>
      <c r="C172" s="13"/>
      <c r="D172" s="14"/>
      <c r="E172" s="15"/>
      <c r="F172" s="15"/>
      <c r="G172" s="16"/>
      <c r="H172" s="15"/>
      <c r="I172" s="17"/>
      <c r="J172" s="18"/>
      <c r="K172" t="str">
        <f t="shared" si="2"/>
        <v>W24</v>
      </c>
    </row>
    <row r="173" spans="1:11" hidden="1" x14ac:dyDescent="0.35">
      <c r="A173" s="4">
        <v>46191</v>
      </c>
      <c r="B173" s="12"/>
      <c r="C173" s="13"/>
      <c r="D173" s="14"/>
      <c r="E173" s="15"/>
      <c r="F173" s="15"/>
      <c r="G173" s="16"/>
      <c r="H173" s="15"/>
      <c r="I173" s="17"/>
      <c r="J173" s="18"/>
      <c r="K173" t="str">
        <f t="shared" si="2"/>
        <v>W25</v>
      </c>
    </row>
    <row r="174" spans="1:11" hidden="1" x14ac:dyDescent="0.35">
      <c r="A174" s="4">
        <v>46192</v>
      </c>
      <c r="B174" s="12"/>
      <c r="C174" s="13"/>
      <c r="D174" s="14"/>
      <c r="E174" s="15"/>
      <c r="F174" s="15"/>
      <c r="G174" s="16"/>
      <c r="H174" s="15"/>
      <c r="I174" s="17"/>
      <c r="J174" s="18"/>
      <c r="K174" t="str">
        <f t="shared" si="2"/>
        <v>W25</v>
      </c>
    </row>
    <row r="175" spans="1:11" hidden="1" x14ac:dyDescent="0.35">
      <c r="A175" s="4">
        <v>46193</v>
      </c>
      <c r="B175" s="12"/>
      <c r="C175" s="13"/>
      <c r="D175" s="14"/>
      <c r="E175" s="15"/>
      <c r="F175" s="15"/>
      <c r="G175" s="16"/>
      <c r="H175" s="15"/>
      <c r="I175" s="17"/>
      <c r="J175" s="18"/>
      <c r="K175" t="str">
        <f t="shared" si="2"/>
        <v>W25</v>
      </c>
    </row>
    <row r="176" spans="1:11" hidden="1" x14ac:dyDescent="0.35">
      <c r="A176" s="4">
        <v>46194</v>
      </c>
      <c r="B176" s="12"/>
      <c r="C176" s="13"/>
      <c r="D176" s="14"/>
      <c r="E176" s="15"/>
      <c r="F176" s="15"/>
      <c r="G176" s="16"/>
      <c r="H176" s="15"/>
      <c r="I176" s="17"/>
      <c r="J176" s="18"/>
      <c r="K176" t="str">
        <f t="shared" si="2"/>
        <v>W25</v>
      </c>
    </row>
    <row r="177" spans="1:11" hidden="1" x14ac:dyDescent="0.35">
      <c r="A177" s="4">
        <v>46195</v>
      </c>
      <c r="B177" s="12"/>
      <c r="C177" s="13"/>
      <c r="D177" s="14"/>
      <c r="E177" s="15"/>
      <c r="F177" s="15"/>
      <c r="G177" s="16"/>
      <c r="H177" s="15"/>
      <c r="I177" s="17"/>
      <c r="J177" s="18"/>
      <c r="K177" t="str">
        <f t="shared" si="2"/>
        <v>W25</v>
      </c>
    </row>
    <row r="178" spans="1:11" hidden="1" x14ac:dyDescent="0.35">
      <c r="A178" s="4">
        <v>46196</v>
      </c>
      <c r="B178" s="12"/>
      <c r="C178" s="13"/>
      <c r="D178" s="14"/>
      <c r="E178" s="15"/>
      <c r="F178" s="15"/>
      <c r="G178" s="16"/>
      <c r="H178" s="15"/>
      <c r="I178" s="17"/>
      <c r="J178" s="18"/>
      <c r="K178" t="str">
        <f t="shared" si="2"/>
        <v>W25</v>
      </c>
    </row>
    <row r="179" spans="1:11" hidden="1" x14ac:dyDescent="0.35">
      <c r="A179" s="4">
        <v>46197</v>
      </c>
      <c r="B179" s="12"/>
      <c r="C179" s="13"/>
      <c r="D179" s="14"/>
      <c r="E179" s="15"/>
      <c r="F179" s="15"/>
      <c r="G179" s="16"/>
      <c r="H179" s="15"/>
      <c r="I179" s="17"/>
      <c r="J179" s="18"/>
      <c r="K179" t="str">
        <f t="shared" si="2"/>
        <v>W25</v>
      </c>
    </row>
    <row r="180" spans="1:11" hidden="1" x14ac:dyDescent="0.35">
      <c r="A180" s="4">
        <v>46198</v>
      </c>
      <c r="B180" s="12"/>
      <c r="C180" s="13"/>
      <c r="D180" s="14"/>
      <c r="E180" s="15"/>
      <c r="F180" s="15"/>
      <c r="G180" s="16"/>
      <c r="H180" s="15"/>
      <c r="I180" s="17"/>
      <c r="J180" s="18"/>
      <c r="K180" t="str">
        <f t="shared" si="2"/>
        <v>W26</v>
      </c>
    </row>
    <row r="181" spans="1:11" hidden="1" x14ac:dyDescent="0.35">
      <c r="A181" s="4">
        <v>46199</v>
      </c>
      <c r="B181" s="12"/>
      <c r="C181" s="13"/>
      <c r="D181" s="14"/>
      <c r="E181" s="15"/>
      <c r="F181" s="15"/>
      <c r="G181" s="16"/>
      <c r="H181" s="15"/>
      <c r="I181" s="17"/>
      <c r="J181" s="18"/>
      <c r="K181" t="str">
        <f t="shared" si="2"/>
        <v>W26</v>
      </c>
    </row>
    <row r="182" spans="1:11" hidden="1" x14ac:dyDescent="0.35">
      <c r="A182" s="4">
        <v>46200</v>
      </c>
      <c r="B182" s="12"/>
      <c r="C182" s="13"/>
      <c r="D182" s="14"/>
      <c r="E182" s="15"/>
      <c r="F182" s="15"/>
      <c r="G182" s="16"/>
      <c r="H182" s="15"/>
      <c r="I182" s="17"/>
      <c r="J182" s="18"/>
      <c r="K182" t="str">
        <f t="shared" si="2"/>
        <v>W26</v>
      </c>
    </row>
    <row r="183" spans="1:11" hidden="1" x14ac:dyDescent="0.35">
      <c r="A183" s="4">
        <v>46201</v>
      </c>
      <c r="B183" s="12"/>
      <c r="C183" s="13"/>
      <c r="D183" s="14"/>
      <c r="E183" s="15"/>
      <c r="F183" s="15"/>
      <c r="G183" s="16"/>
      <c r="H183" s="15"/>
      <c r="I183" s="17"/>
      <c r="J183" s="18"/>
      <c r="K183" t="str">
        <f t="shared" si="2"/>
        <v>W26</v>
      </c>
    </row>
    <row r="184" spans="1:11" hidden="1" x14ac:dyDescent="0.35">
      <c r="A184" s="4">
        <v>46202</v>
      </c>
      <c r="B184" s="12"/>
      <c r="C184" s="13"/>
      <c r="D184" s="14"/>
      <c r="E184" s="15"/>
      <c r="F184" s="15"/>
      <c r="G184" s="16"/>
      <c r="H184" s="15"/>
      <c r="I184" s="17"/>
      <c r="J184" s="18"/>
      <c r="K184" t="str">
        <f t="shared" si="2"/>
        <v>W26</v>
      </c>
    </row>
    <row r="185" spans="1:11" hidden="1" x14ac:dyDescent="0.35">
      <c r="A185" s="4">
        <v>46203</v>
      </c>
      <c r="B185" s="12"/>
      <c r="C185" s="13"/>
      <c r="D185" s="14"/>
      <c r="E185" s="15"/>
      <c r="F185" s="15"/>
      <c r="G185" s="16"/>
      <c r="H185" s="15"/>
      <c r="I185" s="17"/>
      <c r="J185" s="18"/>
      <c r="K185" t="str">
        <f t="shared" si="2"/>
        <v>W26</v>
      </c>
    </row>
    <row r="186" spans="1:11" hidden="1" x14ac:dyDescent="0.35">
      <c r="A186" s="4">
        <v>46204</v>
      </c>
      <c r="B186" s="12"/>
      <c r="C186" s="13"/>
      <c r="D186" s="14"/>
      <c r="E186" s="15"/>
      <c r="F186" s="15"/>
      <c r="G186" s="16"/>
      <c r="H186" s="15"/>
      <c r="I186" s="17"/>
      <c r="J186" s="18"/>
      <c r="K186" t="str">
        <f t="shared" si="2"/>
        <v>W26</v>
      </c>
    </row>
    <row r="187" spans="1:11" hidden="1" x14ac:dyDescent="0.35">
      <c r="A187" s="4">
        <v>46205</v>
      </c>
      <c r="B187" s="12"/>
      <c r="C187" s="13"/>
      <c r="D187" s="14"/>
      <c r="E187" s="15"/>
      <c r="F187" s="15"/>
      <c r="G187" s="16"/>
      <c r="H187" s="15"/>
      <c r="I187" s="17"/>
      <c r="J187" s="18"/>
      <c r="K187" t="str">
        <f t="shared" si="2"/>
        <v>W27</v>
      </c>
    </row>
    <row r="188" spans="1:11" hidden="1" x14ac:dyDescent="0.35">
      <c r="A188" s="4">
        <v>46206</v>
      </c>
      <c r="B188" s="12"/>
      <c r="C188" s="13"/>
      <c r="D188" s="14"/>
      <c r="E188" s="15"/>
      <c r="F188" s="15"/>
      <c r="G188" s="16"/>
      <c r="H188" s="15"/>
      <c r="I188" s="17"/>
      <c r="J188" s="18"/>
      <c r="K188" t="str">
        <f t="shared" si="2"/>
        <v>W27</v>
      </c>
    </row>
    <row r="189" spans="1:11" hidden="1" x14ac:dyDescent="0.35">
      <c r="A189" s="4">
        <v>46207</v>
      </c>
      <c r="B189" s="12"/>
      <c r="C189" s="13"/>
      <c r="D189" s="14"/>
      <c r="E189" s="15"/>
      <c r="F189" s="15"/>
      <c r="G189" s="16"/>
      <c r="H189" s="15"/>
      <c r="I189" s="17"/>
      <c r="J189" s="18"/>
      <c r="K189" t="str">
        <f t="shared" si="2"/>
        <v>W27</v>
      </c>
    </row>
    <row r="190" spans="1:11" hidden="1" x14ac:dyDescent="0.35">
      <c r="A190" s="4">
        <v>46208</v>
      </c>
      <c r="B190" s="12"/>
      <c r="C190" s="13"/>
      <c r="D190" s="14"/>
      <c r="E190" s="15"/>
      <c r="F190" s="15"/>
      <c r="G190" s="16"/>
      <c r="H190" s="15"/>
      <c r="I190" s="17"/>
      <c r="J190" s="18"/>
      <c r="K190" t="str">
        <f t="shared" si="2"/>
        <v>W27</v>
      </c>
    </row>
    <row r="191" spans="1:11" hidden="1" x14ac:dyDescent="0.35">
      <c r="A191" s="4">
        <v>46209</v>
      </c>
      <c r="B191" s="12"/>
      <c r="C191" s="13"/>
      <c r="D191" s="14"/>
      <c r="E191" s="15"/>
      <c r="F191" s="15"/>
      <c r="G191" s="16"/>
      <c r="H191" s="15"/>
      <c r="I191" s="17"/>
      <c r="J191" s="18"/>
      <c r="K191" t="str">
        <f t="shared" si="2"/>
        <v>W27</v>
      </c>
    </row>
    <row r="192" spans="1:11" hidden="1" x14ac:dyDescent="0.35">
      <c r="A192" s="4">
        <v>46210</v>
      </c>
      <c r="B192" s="12"/>
      <c r="C192" s="13"/>
      <c r="D192" s="14"/>
      <c r="E192" s="15"/>
      <c r="F192" s="15"/>
      <c r="G192" s="16"/>
      <c r="H192" s="15"/>
      <c r="I192" s="17"/>
      <c r="J192" s="18"/>
      <c r="K192" t="str">
        <f t="shared" si="2"/>
        <v>W27</v>
      </c>
    </row>
    <row r="193" spans="1:11" hidden="1" x14ac:dyDescent="0.35">
      <c r="A193" s="4">
        <v>46211</v>
      </c>
      <c r="B193" s="12"/>
      <c r="C193" s="13"/>
      <c r="D193" s="14"/>
      <c r="E193" s="15"/>
      <c r="F193" s="15"/>
      <c r="G193" s="16"/>
      <c r="H193" s="15"/>
      <c r="I193" s="17"/>
      <c r="J193" s="18"/>
      <c r="K193" t="str">
        <f t="shared" si="2"/>
        <v>W27</v>
      </c>
    </row>
    <row r="194" spans="1:11" hidden="1" x14ac:dyDescent="0.35">
      <c r="A194" s="4">
        <v>46212</v>
      </c>
      <c r="B194" s="12"/>
      <c r="C194" s="13"/>
      <c r="D194" s="14"/>
      <c r="E194" s="15"/>
      <c r="F194" s="15"/>
      <c r="G194" s="16"/>
      <c r="H194" s="15"/>
      <c r="I194" s="17"/>
      <c r="J194" s="18"/>
      <c r="K194" t="str">
        <f t="shared" si="2"/>
        <v>W28</v>
      </c>
    </row>
    <row r="195" spans="1:11" hidden="1" x14ac:dyDescent="0.35">
      <c r="A195" s="4">
        <v>46213</v>
      </c>
      <c r="B195" s="12"/>
      <c r="C195" s="13"/>
      <c r="D195" s="14"/>
      <c r="E195" s="15"/>
      <c r="F195" s="15"/>
      <c r="G195" s="16"/>
      <c r="H195" s="15"/>
      <c r="I195" s="17"/>
      <c r="J195" s="18"/>
      <c r="K195" t="str">
        <f t="shared" si="2"/>
        <v>W28</v>
      </c>
    </row>
    <row r="196" spans="1:11" hidden="1" x14ac:dyDescent="0.35">
      <c r="A196" s="4">
        <v>46214</v>
      </c>
      <c r="B196" s="12"/>
      <c r="C196" s="13"/>
      <c r="D196" s="14"/>
      <c r="E196" s="15"/>
      <c r="F196" s="15"/>
      <c r="G196" s="16"/>
      <c r="H196" s="15"/>
      <c r="I196" s="17"/>
      <c r="J196" s="18"/>
      <c r="K196" t="str">
        <f t="shared" si="2"/>
        <v>W28</v>
      </c>
    </row>
    <row r="197" spans="1:11" hidden="1" x14ac:dyDescent="0.35">
      <c r="A197" s="4">
        <v>46215</v>
      </c>
      <c r="B197" s="12"/>
      <c r="C197" s="13"/>
      <c r="D197" s="14"/>
      <c r="E197" s="15"/>
      <c r="F197" s="15"/>
      <c r="G197" s="16"/>
      <c r="H197" s="15"/>
      <c r="I197" s="17"/>
      <c r="J197" s="18"/>
      <c r="K197" t="str">
        <f t="shared" ref="K197:K260" si="3">"W"&amp;TEXT(INT((A197-DATE(2026,1,1))/7)+1,"00")</f>
        <v>W28</v>
      </c>
    </row>
    <row r="198" spans="1:11" hidden="1" x14ac:dyDescent="0.35">
      <c r="A198" s="4">
        <v>46216</v>
      </c>
      <c r="B198" s="12"/>
      <c r="C198" s="13"/>
      <c r="D198" s="14"/>
      <c r="E198" s="15"/>
      <c r="F198" s="15"/>
      <c r="G198" s="16"/>
      <c r="H198" s="15"/>
      <c r="I198" s="17"/>
      <c r="J198" s="18"/>
      <c r="K198" t="str">
        <f t="shared" si="3"/>
        <v>W28</v>
      </c>
    </row>
    <row r="199" spans="1:11" hidden="1" x14ac:dyDescent="0.35">
      <c r="A199" s="4">
        <v>46217</v>
      </c>
      <c r="B199" s="12"/>
      <c r="C199" s="13"/>
      <c r="D199" s="14"/>
      <c r="E199" s="15"/>
      <c r="F199" s="15"/>
      <c r="G199" s="16"/>
      <c r="H199" s="15"/>
      <c r="I199" s="17"/>
      <c r="J199" s="18"/>
      <c r="K199" t="str">
        <f t="shared" si="3"/>
        <v>W28</v>
      </c>
    </row>
    <row r="200" spans="1:11" hidden="1" x14ac:dyDescent="0.35">
      <c r="A200" s="4">
        <v>46218</v>
      </c>
      <c r="B200" s="12"/>
      <c r="C200" s="13"/>
      <c r="D200" s="14"/>
      <c r="E200" s="15"/>
      <c r="F200" s="15"/>
      <c r="G200" s="16"/>
      <c r="H200" s="15"/>
      <c r="I200" s="17"/>
      <c r="J200" s="18"/>
      <c r="K200" t="str">
        <f t="shared" si="3"/>
        <v>W28</v>
      </c>
    </row>
    <row r="201" spans="1:11" hidden="1" x14ac:dyDescent="0.35">
      <c r="A201" s="4">
        <v>46219</v>
      </c>
      <c r="B201" s="12"/>
      <c r="C201" s="13"/>
      <c r="D201" s="14"/>
      <c r="E201" s="15"/>
      <c r="F201" s="15"/>
      <c r="G201" s="16"/>
      <c r="H201" s="15"/>
      <c r="I201" s="17"/>
      <c r="J201" s="18"/>
      <c r="K201" t="str">
        <f t="shared" si="3"/>
        <v>W29</v>
      </c>
    </row>
    <row r="202" spans="1:11" hidden="1" x14ac:dyDescent="0.35">
      <c r="A202" s="4">
        <v>46220</v>
      </c>
      <c r="B202" s="12"/>
      <c r="C202" s="13"/>
      <c r="D202" s="14"/>
      <c r="E202" s="15"/>
      <c r="F202" s="15"/>
      <c r="G202" s="16"/>
      <c r="H202" s="15"/>
      <c r="I202" s="17"/>
      <c r="J202" s="18"/>
      <c r="K202" t="str">
        <f t="shared" si="3"/>
        <v>W29</v>
      </c>
    </row>
    <row r="203" spans="1:11" hidden="1" x14ac:dyDescent="0.35">
      <c r="A203" s="4">
        <v>46221</v>
      </c>
      <c r="B203" s="12"/>
      <c r="C203" s="13"/>
      <c r="D203" s="14"/>
      <c r="E203" s="15"/>
      <c r="F203" s="15"/>
      <c r="G203" s="16"/>
      <c r="H203" s="15"/>
      <c r="I203" s="17"/>
      <c r="J203" s="18"/>
      <c r="K203" t="str">
        <f t="shared" si="3"/>
        <v>W29</v>
      </c>
    </row>
    <row r="204" spans="1:11" hidden="1" x14ac:dyDescent="0.35">
      <c r="A204" s="4">
        <v>46222</v>
      </c>
      <c r="B204" s="12"/>
      <c r="C204" s="13"/>
      <c r="D204" s="14"/>
      <c r="E204" s="15"/>
      <c r="F204" s="15"/>
      <c r="G204" s="16"/>
      <c r="H204" s="15"/>
      <c r="I204" s="17"/>
      <c r="J204" s="18"/>
      <c r="K204" t="str">
        <f t="shared" si="3"/>
        <v>W29</v>
      </c>
    </row>
    <row r="205" spans="1:11" hidden="1" x14ac:dyDescent="0.35">
      <c r="A205" s="4">
        <v>46223</v>
      </c>
      <c r="B205" s="12"/>
      <c r="C205" s="13"/>
      <c r="D205" s="14"/>
      <c r="E205" s="15"/>
      <c r="F205" s="15"/>
      <c r="G205" s="16"/>
      <c r="H205" s="15"/>
      <c r="I205" s="17"/>
      <c r="J205" s="18"/>
      <c r="K205" t="str">
        <f t="shared" si="3"/>
        <v>W29</v>
      </c>
    </row>
    <row r="206" spans="1:11" hidden="1" x14ac:dyDescent="0.35">
      <c r="A206" s="4">
        <v>46224</v>
      </c>
      <c r="B206" s="12"/>
      <c r="C206" s="13"/>
      <c r="D206" s="14"/>
      <c r="E206" s="15"/>
      <c r="F206" s="15"/>
      <c r="G206" s="16"/>
      <c r="H206" s="15"/>
      <c r="I206" s="17"/>
      <c r="J206" s="18"/>
      <c r="K206" t="str">
        <f t="shared" si="3"/>
        <v>W29</v>
      </c>
    </row>
    <row r="207" spans="1:11" hidden="1" x14ac:dyDescent="0.35">
      <c r="A207" s="4">
        <v>46225</v>
      </c>
      <c r="B207" s="12"/>
      <c r="C207" s="13"/>
      <c r="D207" s="14"/>
      <c r="E207" s="15"/>
      <c r="F207" s="15"/>
      <c r="G207" s="16"/>
      <c r="H207" s="15"/>
      <c r="I207" s="17"/>
      <c r="J207" s="18"/>
      <c r="K207" t="str">
        <f t="shared" si="3"/>
        <v>W29</v>
      </c>
    </row>
    <row r="208" spans="1:11" hidden="1" x14ac:dyDescent="0.35">
      <c r="A208" s="4">
        <v>46226</v>
      </c>
      <c r="B208" s="12"/>
      <c r="C208" s="13"/>
      <c r="D208" s="14"/>
      <c r="E208" s="15"/>
      <c r="F208" s="15"/>
      <c r="G208" s="16"/>
      <c r="H208" s="15"/>
      <c r="I208" s="17"/>
      <c r="J208" s="18"/>
      <c r="K208" t="str">
        <f t="shared" si="3"/>
        <v>W30</v>
      </c>
    </row>
    <row r="209" spans="1:11" hidden="1" x14ac:dyDescent="0.35">
      <c r="A209" s="4">
        <v>46227</v>
      </c>
      <c r="B209" s="12"/>
      <c r="C209" s="13"/>
      <c r="D209" s="14"/>
      <c r="E209" s="15"/>
      <c r="F209" s="15"/>
      <c r="G209" s="16"/>
      <c r="H209" s="15"/>
      <c r="I209" s="17"/>
      <c r="J209" s="18"/>
      <c r="K209" t="str">
        <f t="shared" si="3"/>
        <v>W30</v>
      </c>
    </row>
    <row r="210" spans="1:11" hidden="1" x14ac:dyDescent="0.35">
      <c r="A210" s="4">
        <v>46228</v>
      </c>
      <c r="B210" s="12"/>
      <c r="C210" s="13"/>
      <c r="D210" s="14"/>
      <c r="E210" s="15"/>
      <c r="F210" s="15"/>
      <c r="G210" s="16"/>
      <c r="H210" s="15"/>
      <c r="I210" s="17"/>
      <c r="J210" s="18"/>
      <c r="K210" t="str">
        <f t="shared" si="3"/>
        <v>W30</v>
      </c>
    </row>
    <row r="211" spans="1:11" hidden="1" x14ac:dyDescent="0.35">
      <c r="A211" s="4">
        <v>46229</v>
      </c>
      <c r="B211" s="12"/>
      <c r="C211" s="13"/>
      <c r="D211" s="14"/>
      <c r="E211" s="15"/>
      <c r="F211" s="15"/>
      <c r="G211" s="16"/>
      <c r="H211" s="15"/>
      <c r="I211" s="17"/>
      <c r="J211" s="18"/>
      <c r="K211" t="str">
        <f t="shared" si="3"/>
        <v>W30</v>
      </c>
    </row>
    <row r="212" spans="1:11" hidden="1" x14ac:dyDescent="0.35">
      <c r="A212" s="4">
        <v>46230</v>
      </c>
      <c r="B212" s="12"/>
      <c r="C212" s="13"/>
      <c r="D212" s="14"/>
      <c r="E212" s="15"/>
      <c r="F212" s="15"/>
      <c r="G212" s="16"/>
      <c r="H212" s="15"/>
      <c r="I212" s="17"/>
      <c r="J212" s="18"/>
      <c r="K212" t="str">
        <f t="shared" si="3"/>
        <v>W30</v>
      </c>
    </row>
    <row r="213" spans="1:11" hidden="1" x14ac:dyDescent="0.35">
      <c r="A213" s="4">
        <v>46231</v>
      </c>
      <c r="B213" s="12"/>
      <c r="C213" s="13"/>
      <c r="D213" s="14"/>
      <c r="E213" s="15"/>
      <c r="F213" s="15"/>
      <c r="G213" s="16"/>
      <c r="H213" s="15"/>
      <c r="I213" s="17"/>
      <c r="J213" s="18"/>
      <c r="K213" t="str">
        <f t="shared" si="3"/>
        <v>W30</v>
      </c>
    </row>
    <row r="214" spans="1:11" hidden="1" x14ac:dyDescent="0.35">
      <c r="A214" s="4">
        <v>46232</v>
      </c>
      <c r="B214" s="12"/>
      <c r="C214" s="13"/>
      <c r="D214" s="14"/>
      <c r="E214" s="15"/>
      <c r="F214" s="15"/>
      <c r="G214" s="16"/>
      <c r="H214" s="15"/>
      <c r="I214" s="17"/>
      <c r="J214" s="18"/>
      <c r="K214" t="str">
        <f t="shared" si="3"/>
        <v>W30</v>
      </c>
    </row>
    <row r="215" spans="1:11" hidden="1" x14ac:dyDescent="0.35">
      <c r="A215" s="4">
        <v>46233</v>
      </c>
      <c r="B215" s="12"/>
      <c r="C215" s="13"/>
      <c r="D215" s="14"/>
      <c r="E215" s="15"/>
      <c r="F215" s="15"/>
      <c r="G215" s="16"/>
      <c r="H215" s="15"/>
      <c r="I215" s="17"/>
      <c r="J215" s="18"/>
      <c r="K215" t="str">
        <f t="shared" si="3"/>
        <v>W31</v>
      </c>
    </row>
    <row r="216" spans="1:11" hidden="1" x14ac:dyDescent="0.35">
      <c r="A216" s="4">
        <v>46234</v>
      </c>
      <c r="B216" s="12"/>
      <c r="C216" s="13"/>
      <c r="D216" s="14"/>
      <c r="E216" s="15"/>
      <c r="F216" s="15"/>
      <c r="G216" s="16"/>
      <c r="H216" s="15"/>
      <c r="I216" s="17"/>
      <c r="J216" s="18"/>
      <c r="K216" t="str">
        <f t="shared" si="3"/>
        <v>W31</v>
      </c>
    </row>
    <row r="217" spans="1:11" x14ac:dyDescent="0.35">
      <c r="A217" s="4">
        <v>46235</v>
      </c>
      <c r="B217" s="12">
        <v>0.9577</v>
      </c>
      <c r="C217" s="13">
        <v>0.47892000000000001</v>
      </c>
      <c r="D217" s="14">
        <v>219.935</v>
      </c>
      <c r="E217" s="15">
        <v>11.007880416000001</v>
      </c>
      <c r="F217" s="15">
        <v>1.7722236115215859</v>
      </c>
      <c r="G217" s="16">
        <v>10</v>
      </c>
      <c r="H217" s="15">
        <v>1</v>
      </c>
      <c r="I217" s="17">
        <v>2199.35</v>
      </c>
      <c r="J217" s="18"/>
      <c r="K217" t="str">
        <f t="shared" si="3"/>
        <v>W31</v>
      </c>
    </row>
    <row r="218" spans="1:11" x14ac:dyDescent="0.35">
      <c r="A218" s="4">
        <v>46236</v>
      </c>
      <c r="B218" s="12">
        <v>1</v>
      </c>
      <c r="C218" s="13">
        <v>0.4814693374858971</v>
      </c>
      <c r="D218" s="14">
        <v>203.2409090909091</v>
      </c>
      <c r="E218" s="15">
        <v>11.55526409966153</v>
      </c>
      <c r="F218" s="15">
        <v>1.8376087491333617</v>
      </c>
      <c r="G218" s="16">
        <v>11</v>
      </c>
      <c r="H218" s="15">
        <v>1</v>
      </c>
      <c r="I218" s="17">
        <v>2235.65</v>
      </c>
      <c r="J218" s="18"/>
      <c r="K218" t="str">
        <f t="shared" si="3"/>
        <v>W31</v>
      </c>
    </row>
    <row r="219" spans="1:11" x14ac:dyDescent="0.35">
      <c r="A219" s="4">
        <v>46237</v>
      </c>
      <c r="B219" s="12">
        <v>0.97650000000000003</v>
      </c>
      <c r="C219" s="13">
        <v>0.50365247933884305</v>
      </c>
      <c r="D219" s="14">
        <v>204.71538461538464</v>
      </c>
      <c r="E219" s="15">
        <v>10.895630313032425</v>
      </c>
      <c r="F219" s="15">
        <v>1.6846653890955545</v>
      </c>
      <c r="G219" s="16">
        <v>12</v>
      </c>
      <c r="H219" s="15">
        <v>1.0833333333333333</v>
      </c>
      <c r="I219" s="17">
        <v>2661.3</v>
      </c>
      <c r="J219" s="18"/>
      <c r="K219" t="str">
        <f t="shared" si="3"/>
        <v>W31</v>
      </c>
    </row>
    <row r="220" spans="1:11" x14ac:dyDescent="0.35">
      <c r="A220" s="4">
        <v>46238</v>
      </c>
      <c r="B220" s="12">
        <v>0.99350000000000005</v>
      </c>
      <c r="C220" s="13">
        <v>0.49308276269185403</v>
      </c>
      <c r="D220" s="14">
        <v>201.17666666666668</v>
      </c>
      <c r="E220" s="15">
        <v>10.973261034049598</v>
      </c>
      <c r="F220" s="15">
        <v>1.865716700081189</v>
      </c>
      <c r="G220" s="16">
        <v>14</v>
      </c>
      <c r="H220" s="15">
        <v>1.0714285714285714</v>
      </c>
      <c r="I220" s="17">
        <v>3017.65</v>
      </c>
      <c r="J220" s="18"/>
      <c r="K220" t="str">
        <f t="shared" si="3"/>
        <v>W31</v>
      </c>
    </row>
    <row r="221" spans="1:11" x14ac:dyDescent="0.35">
      <c r="A221" s="4">
        <v>46239</v>
      </c>
      <c r="B221" s="12">
        <v>0.97650000000000003</v>
      </c>
      <c r="C221" s="13">
        <v>0.51424210661156999</v>
      </c>
      <c r="D221" s="14">
        <v>206.70666666666665</v>
      </c>
      <c r="E221" s="15">
        <v>12.051778010548754</v>
      </c>
      <c r="F221" s="15">
        <v>1.798468038444172</v>
      </c>
      <c r="G221" s="16">
        <v>15</v>
      </c>
      <c r="H221" s="15">
        <v>1</v>
      </c>
      <c r="I221" s="17">
        <v>3100.6</v>
      </c>
      <c r="J221" s="18"/>
      <c r="K221" t="str">
        <f t="shared" si="3"/>
        <v>W31</v>
      </c>
    </row>
    <row r="222" spans="1:11" x14ac:dyDescent="0.35">
      <c r="A222" s="4">
        <v>46240</v>
      </c>
      <c r="B222" s="12">
        <v>0.96799999999999997</v>
      </c>
      <c r="C222" s="13">
        <v>0.54199619834710699</v>
      </c>
      <c r="D222" s="14">
        <v>209.9921052631579</v>
      </c>
      <c r="E222" s="15">
        <v>9.9407807999999918</v>
      </c>
      <c r="F222" s="15">
        <v>1.5052194944672106</v>
      </c>
      <c r="G222" s="16">
        <v>15</v>
      </c>
      <c r="H222" s="15">
        <v>1.2666666666666666</v>
      </c>
      <c r="I222" s="17">
        <v>3989.85</v>
      </c>
      <c r="J222" s="18"/>
      <c r="K222" t="str">
        <f t="shared" si="3"/>
        <v>W32</v>
      </c>
    </row>
    <row r="223" spans="1:11" x14ac:dyDescent="0.35">
      <c r="A223" s="4">
        <v>46241</v>
      </c>
      <c r="B223" s="12">
        <v>0.97560000000000002</v>
      </c>
      <c r="C223" s="13">
        <v>0.49489509641873303</v>
      </c>
      <c r="D223" s="14">
        <v>201.57333333333332</v>
      </c>
      <c r="E223" s="15">
        <v>11.587671745586784</v>
      </c>
      <c r="F223" s="15">
        <v>1.8835361820346608</v>
      </c>
      <c r="G223" s="16">
        <v>15</v>
      </c>
      <c r="H223" s="15">
        <v>1</v>
      </c>
      <c r="I223" s="17">
        <v>3023.6</v>
      </c>
      <c r="J223" s="18"/>
      <c r="K223" t="str">
        <f t="shared" si="3"/>
        <v>W32</v>
      </c>
    </row>
    <row r="224" spans="1:11" x14ac:dyDescent="0.35">
      <c r="A224" s="4">
        <v>46242</v>
      </c>
      <c r="B224" s="12">
        <v>0.97629999999999995</v>
      </c>
      <c r="C224" s="13">
        <v>0.52855081939697302</v>
      </c>
      <c r="D224" s="14">
        <v>203.46842105263158</v>
      </c>
      <c r="E224" s="15">
        <v>10.429119965856296</v>
      </c>
      <c r="F224" s="15">
        <v>1.5061926071548668</v>
      </c>
      <c r="G224" s="16">
        <v>16</v>
      </c>
      <c r="H224" s="15">
        <v>1.1875</v>
      </c>
      <c r="I224" s="17">
        <v>3865.9</v>
      </c>
      <c r="J224" s="18"/>
      <c r="K224" t="str">
        <f t="shared" si="3"/>
        <v>W32</v>
      </c>
    </row>
    <row r="225" spans="1:11" x14ac:dyDescent="0.35">
      <c r="A225" s="4">
        <v>46243</v>
      </c>
      <c r="B225" s="12">
        <v>0.98140000000000005</v>
      </c>
      <c r="C225" s="13">
        <v>0.48128457456799401</v>
      </c>
      <c r="D225" s="14">
        <v>202.35</v>
      </c>
      <c r="E225" s="15">
        <v>9.5460920888797514</v>
      </c>
      <c r="F225" s="15">
        <v>1.6020105861391805</v>
      </c>
      <c r="G225" s="16">
        <v>16</v>
      </c>
      <c r="H225" s="15">
        <v>1.1875</v>
      </c>
      <c r="I225" s="17">
        <v>3844.65</v>
      </c>
      <c r="J225" s="18"/>
      <c r="K225" t="str">
        <f t="shared" si="3"/>
        <v>W32</v>
      </c>
    </row>
    <row r="226" spans="1:11" x14ac:dyDescent="0.35">
      <c r="A226" s="4">
        <v>46244</v>
      </c>
      <c r="B226" s="12">
        <v>0.98199999999999998</v>
      </c>
      <c r="C226" s="13">
        <v>0.49192971801757801</v>
      </c>
      <c r="D226" s="14">
        <v>197.95294117647057</v>
      </c>
      <c r="E226" s="15">
        <v>10.911811382812497</v>
      </c>
      <c r="F226" s="15">
        <v>1.7794009271365745</v>
      </c>
      <c r="G226" s="16">
        <v>16</v>
      </c>
      <c r="H226" s="15">
        <v>1.0625</v>
      </c>
      <c r="I226" s="17">
        <v>3365.2</v>
      </c>
      <c r="J226" s="18"/>
      <c r="K226" t="str">
        <f t="shared" si="3"/>
        <v>W32</v>
      </c>
    </row>
    <row r="227" spans="1:11" x14ac:dyDescent="0.35">
      <c r="A227" s="4">
        <v>46245</v>
      </c>
      <c r="B227" s="12">
        <v>0.98199999999999998</v>
      </c>
      <c r="C227" s="13">
        <v>0.48230000000000001</v>
      </c>
      <c r="D227" s="14">
        <v>199.31764705882352</v>
      </c>
      <c r="E227" s="15">
        <v>10.698208376470587</v>
      </c>
      <c r="F227" s="15">
        <v>1.6541583048046276</v>
      </c>
      <c r="G227" s="16">
        <v>16</v>
      </c>
      <c r="H227" s="15">
        <v>1.0625</v>
      </c>
      <c r="I227" s="17">
        <v>3388.4</v>
      </c>
      <c r="J227" s="18"/>
      <c r="K227" t="str">
        <f t="shared" si="3"/>
        <v>W32</v>
      </c>
    </row>
    <row r="228" spans="1:11" x14ac:dyDescent="0.35">
      <c r="A228" s="4">
        <v>46246</v>
      </c>
      <c r="B228" s="12">
        <v>0.97</v>
      </c>
      <c r="C228" s="13">
        <v>0.57499861421585097</v>
      </c>
      <c r="D228" s="14">
        <v>198.09687500000001</v>
      </c>
      <c r="E228" s="15">
        <v>13.385967738945011</v>
      </c>
      <c r="F228" s="15">
        <v>2.1588427379280972</v>
      </c>
      <c r="G228" s="16">
        <v>16</v>
      </c>
      <c r="H228" s="15">
        <v>1</v>
      </c>
      <c r="I228" s="17">
        <v>3169.55</v>
      </c>
      <c r="J228" s="18"/>
      <c r="K228" t="str">
        <f t="shared" si="3"/>
        <v>W32</v>
      </c>
    </row>
    <row r="229" spans="1:11" x14ac:dyDescent="0.35">
      <c r="A229" s="4">
        <v>46247</v>
      </c>
      <c r="B229" s="12">
        <v>0.98</v>
      </c>
      <c r="C229" s="13">
        <v>0.56030000000000002</v>
      </c>
      <c r="D229" s="14">
        <v>198.4</v>
      </c>
      <c r="E229" s="15">
        <v>11.791071157894738</v>
      </c>
      <c r="F229" s="15">
        <v>1.9293346774193547</v>
      </c>
      <c r="G229" s="16">
        <v>17</v>
      </c>
      <c r="H229" s="15">
        <v>1.1176470588235294</v>
      </c>
      <c r="I229" s="17">
        <v>3769.6</v>
      </c>
      <c r="J229" s="18"/>
      <c r="K229" t="str">
        <f t="shared" si="3"/>
        <v>W33</v>
      </c>
    </row>
    <row r="230" spans="1:11" x14ac:dyDescent="0.35">
      <c r="A230" s="4">
        <v>46248</v>
      </c>
      <c r="B230" s="12">
        <v>0.95</v>
      </c>
      <c r="C230" s="13">
        <v>0.53646953124999996</v>
      </c>
      <c r="D230" s="14">
        <v>206.32499999999999</v>
      </c>
      <c r="E230" s="15">
        <v>10.007595255681816</v>
      </c>
      <c r="F230" s="15">
        <v>1.5152947137679962</v>
      </c>
      <c r="G230" s="16">
        <v>18</v>
      </c>
      <c r="H230" s="15">
        <v>1.2222222222222223</v>
      </c>
      <c r="I230" s="17">
        <v>4539.1499999999996</v>
      </c>
      <c r="J230" s="18"/>
      <c r="K230" t="str">
        <f t="shared" si="3"/>
        <v>W33</v>
      </c>
    </row>
    <row r="231" spans="1:11" x14ac:dyDescent="0.35">
      <c r="A231" s="4">
        <v>46249</v>
      </c>
      <c r="B231" s="12">
        <v>0.97</v>
      </c>
      <c r="C231" s="13">
        <v>0.47462746582031201</v>
      </c>
      <c r="D231" s="14">
        <v>209.31</v>
      </c>
      <c r="E231" s="15">
        <v>7.955515731093743</v>
      </c>
      <c r="F231" s="15">
        <v>1.6734814390139028</v>
      </c>
      <c r="G231" s="16">
        <v>18</v>
      </c>
      <c r="H231" s="15">
        <v>1.3888888888888888</v>
      </c>
      <c r="I231" s="17">
        <v>5232.75</v>
      </c>
      <c r="J231" s="18"/>
      <c r="K231" t="str">
        <f t="shared" si="3"/>
        <v>W33</v>
      </c>
    </row>
    <row r="232" spans="1:11" x14ac:dyDescent="0.35">
      <c r="A232" s="4">
        <v>46250</v>
      </c>
      <c r="B232" s="12">
        <v>0.97</v>
      </c>
      <c r="C232" s="13">
        <v>0.78727959533607705</v>
      </c>
      <c r="D232" s="14">
        <v>201.11875000000001</v>
      </c>
      <c r="E232" s="15">
        <v>13.745901734567907</v>
      </c>
      <c r="F232" s="15">
        <v>1.7281228958844792</v>
      </c>
      <c r="G232" s="16">
        <v>18</v>
      </c>
      <c r="H232" s="15">
        <v>1.3333333333333333</v>
      </c>
      <c r="I232" s="17">
        <v>4826.8500000000004</v>
      </c>
      <c r="J232" s="18"/>
      <c r="K232" t="str">
        <f t="shared" si="3"/>
        <v>W33</v>
      </c>
    </row>
    <row r="233" spans="1:11" x14ac:dyDescent="0.35">
      <c r="A233" s="4">
        <v>46251</v>
      </c>
      <c r="B233" s="12"/>
      <c r="C233" s="13"/>
      <c r="D233" s="14"/>
      <c r="E233" s="15"/>
      <c r="F233" s="15"/>
      <c r="G233" s="16"/>
      <c r="H233" s="15"/>
      <c r="I233" s="17"/>
      <c r="J233" s="18"/>
      <c r="K233" t="str">
        <f t="shared" si="3"/>
        <v>W33</v>
      </c>
    </row>
    <row r="234" spans="1:11" x14ac:dyDescent="0.35">
      <c r="A234" s="4">
        <v>46252</v>
      </c>
      <c r="B234" s="12">
        <v>0.98</v>
      </c>
      <c r="C234" s="13">
        <v>0.78969999999999996</v>
      </c>
      <c r="D234" s="14">
        <v>212.80714285714288</v>
      </c>
      <c r="E234" s="15">
        <v>18.573743999999998</v>
      </c>
      <c r="F234" s="15">
        <v>0.52658678213003052</v>
      </c>
      <c r="G234" s="16">
        <v>7</v>
      </c>
      <c r="H234" s="15">
        <v>1</v>
      </c>
      <c r="I234" s="17">
        <v>1489.65</v>
      </c>
      <c r="J234" s="18"/>
      <c r="K234" t="str">
        <f t="shared" si="3"/>
        <v>W33</v>
      </c>
    </row>
    <row r="235" spans="1:11" x14ac:dyDescent="0.35">
      <c r="A235" s="4">
        <v>46253</v>
      </c>
      <c r="B235" s="12"/>
      <c r="C235" s="13"/>
      <c r="D235" s="14"/>
      <c r="E235" s="15"/>
      <c r="F235" s="15"/>
      <c r="G235" s="16"/>
      <c r="H235" s="15"/>
      <c r="I235" s="17"/>
      <c r="J235" s="18"/>
      <c r="K235" t="str">
        <f t="shared" si="3"/>
        <v>W33</v>
      </c>
    </row>
    <row r="236" spans="1:11" x14ac:dyDescent="0.35">
      <c r="A236" s="4">
        <v>46254</v>
      </c>
      <c r="B236" s="12"/>
      <c r="C236" s="13"/>
      <c r="D236" s="14"/>
      <c r="E236" s="15"/>
      <c r="F236" s="15"/>
      <c r="G236" s="16"/>
      <c r="H236" s="15"/>
      <c r="I236" s="17"/>
      <c r="J236" s="18"/>
      <c r="K236" t="str">
        <f t="shared" si="3"/>
        <v>W34</v>
      </c>
    </row>
    <row r="237" spans="1:11" x14ac:dyDescent="0.35">
      <c r="A237" s="4">
        <v>46255</v>
      </c>
      <c r="B237" s="12"/>
      <c r="C237" s="13"/>
      <c r="D237" s="14"/>
      <c r="E237" s="15"/>
      <c r="F237" s="15"/>
      <c r="G237" s="16"/>
      <c r="H237" s="15"/>
      <c r="I237" s="17"/>
      <c r="J237" s="18"/>
      <c r="K237" t="str">
        <f t="shared" si="3"/>
        <v>W34</v>
      </c>
    </row>
    <row r="238" spans="1:11" x14ac:dyDescent="0.35">
      <c r="A238" s="4">
        <v>46256</v>
      </c>
      <c r="B238" s="12"/>
      <c r="C238" s="13"/>
      <c r="D238" s="14"/>
      <c r="E238" s="15"/>
      <c r="F238" s="15"/>
      <c r="G238" s="16"/>
      <c r="H238" s="15"/>
      <c r="I238" s="17"/>
      <c r="J238" s="18"/>
      <c r="K238" t="str">
        <f t="shared" si="3"/>
        <v>W34</v>
      </c>
    </row>
    <row r="239" spans="1:11" x14ac:dyDescent="0.35">
      <c r="A239" s="4">
        <v>46257</v>
      </c>
      <c r="B239" s="12"/>
      <c r="C239" s="13"/>
      <c r="D239" s="14"/>
      <c r="E239" s="15"/>
      <c r="F239" s="15"/>
      <c r="G239" s="16"/>
      <c r="H239" s="15"/>
      <c r="I239" s="17"/>
      <c r="J239" s="18"/>
      <c r="K239" t="str">
        <f t="shared" si="3"/>
        <v>W34</v>
      </c>
    </row>
    <row r="240" spans="1:11" x14ac:dyDescent="0.35">
      <c r="A240" s="4">
        <v>46258</v>
      </c>
      <c r="B240" s="12"/>
      <c r="C240" s="13"/>
      <c r="D240" s="14"/>
      <c r="E240" s="15"/>
      <c r="F240" s="15"/>
      <c r="G240" s="16"/>
      <c r="H240" s="15"/>
      <c r="I240" s="17"/>
      <c r="J240" s="18"/>
      <c r="K240" t="str">
        <f t="shared" si="3"/>
        <v>W34</v>
      </c>
    </row>
    <row r="241" spans="1:11" x14ac:dyDescent="0.35">
      <c r="A241" s="4">
        <v>46259</v>
      </c>
      <c r="B241" s="12"/>
      <c r="C241" s="13"/>
      <c r="D241" s="14"/>
      <c r="E241" s="15"/>
      <c r="F241" s="15"/>
      <c r="G241" s="16"/>
      <c r="H241" s="15"/>
      <c r="I241" s="17"/>
      <c r="J241" s="18"/>
      <c r="K241" t="str">
        <f t="shared" si="3"/>
        <v>W34</v>
      </c>
    </row>
    <row r="242" spans="1:11" x14ac:dyDescent="0.35">
      <c r="A242" s="4">
        <v>46260</v>
      </c>
      <c r="B242" s="12"/>
      <c r="C242" s="13"/>
      <c r="D242" s="14"/>
      <c r="E242" s="15"/>
      <c r="F242" s="15"/>
      <c r="G242" s="16"/>
      <c r="H242" s="15"/>
      <c r="I242" s="17"/>
      <c r="J242" s="18"/>
      <c r="K242" t="str">
        <f t="shared" si="3"/>
        <v>W34</v>
      </c>
    </row>
    <row r="243" spans="1:11" x14ac:dyDescent="0.35">
      <c r="A243" s="4">
        <v>46261</v>
      </c>
      <c r="B243" s="12"/>
      <c r="C243" s="13"/>
      <c r="D243" s="14"/>
      <c r="E243" s="15"/>
      <c r="F243" s="15"/>
      <c r="G243" s="16"/>
      <c r="H243" s="15"/>
      <c r="I243" s="17"/>
      <c r="J243" s="18"/>
      <c r="K243" t="str">
        <f t="shared" si="3"/>
        <v>W35</v>
      </c>
    </row>
    <row r="244" spans="1:11" x14ac:dyDescent="0.35">
      <c r="A244" s="4">
        <v>46262</v>
      </c>
      <c r="B244" s="12"/>
      <c r="C244" s="13"/>
      <c r="D244" s="14"/>
      <c r="E244" s="15"/>
      <c r="F244" s="15"/>
      <c r="G244" s="16"/>
      <c r="H244" s="15"/>
      <c r="I244" s="17"/>
      <c r="J244" s="18"/>
      <c r="K244" t="str">
        <f t="shared" si="3"/>
        <v>W35</v>
      </c>
    </row>
    <row r="245" spans="1:11" x14ac:dyDescent="0.35">
      <c r="A245" s="4">
        <v>46263</v>
      </c>
      <c r="B245" s="12">
        <v>0.9869</v>
      </c>
      <c r="C245" s="13">
        <v>0.62863327673117197</v>
      </c>
      <c r="D245" s="14">
        <v>201.63695652173911</v>
      </c>
      <c r="E245" s="15">
        <v>12.947440295081607</v>
      </c>
      <c r="F245" s="15">
        <v>2.4673401399415655</v>
      </c>
      <c r="G245" s="16">
        <v>20</v>
      </c>
      <c r="H245" s="15">
        <v>1.1499999999999999</v>
      </c>
      <c r="I245" s="17">
        <v>4637.6499999999996</v>
      </c>
      <c r="J245" s="18"/>
      <c r="K245" t="str">
        <f t="shared" si="3"/>
        <v>W35</v>
      </c>
    </row>
    <row r="246" spans="1:11" x14ac:dyDescent="0.35">
      <c r="A246" s="4">
        <v>46264</v>
      </c>
      <c r="B246" s="12">
        <v>0.9869</v>
      </c>
      <c r="C246" s="13">
        <v>0.55049378153866102</v>
      </c>
      <c r="D246" s="14">
        <v>207.140625</v>
      </c>
      <c r="E246" s="15">
        <v>7.3343112255068128</v>
      </c>
      <c r="F246" s="15">
        <v>1.4105317945236477</v>
      </c>
      <c r="G246" s="16">
        <v>18</v>
      </c>
      <c r="H246" s="15">
        <v>1.7777777777777777</v>
      </c>
      <c r="I246" s="17">
        <v>6628.5</v>
      </c>
      <c r="J246" s="18"/>
      <c r="K246" t="str">
        <f t="shared" si="3"/>
        <v>W35</v>
      </c>
    </row>
    <row r="247" spans="1:11" x14ac:dyDescent="0.35">
      <c r="A247" s="4">
        <v>46265</v>
      </c>
      <c r="B247" s="12">
        <v>0.98</v>
      </c>
      <c r="C247" s="13">
        <v>0.56000000000000005</v>
      </c>
      <c r="D247" s="14">
        <v>206.37592592592591</v>
      </c>
      <c r="E247" s="15">
        <v>8.780800000000001</v>
      </c>
      <c r="F247" s="15">
        <v>1.7468966197966673</v>
      </c>
      <c r="G247" s="16">
        <v>18</v>
      </c>
      <c r="H247" s="15">
        <v>1.5</v>
      </c>
      <c r="I247" s="17">
        <v>5572.15</v>
      </c>
      <c r="J247" s="18"/>
      <c r="K247" t="str">
        <f t="shared" si="3"/>
        <v>W35</v>
      </c>
    </row>
    <row r="248" spans="1:11" x14ac:dyDescent="0.35">
      <c r="A248" s="4">
        <v>46266</v>
      </c>
      <c r="B248" s="12">
        <v>0.9577</v>
      </c>
      <c r="C248" s="13">
        <v>0.50359442506239505</v>
      </c>
      <c r="D248" s="14">
        <v>205.82</v>
      </c>
      <c r="E248" s="15">
        <v>9.2600137129393101</v>
      </c>
      <c r="F248" s="15">
        <v>1.6756466815664175</v>
      </c>
      <c r="G248" s="16">
        <v>20</v>
      </c>
      <c r="H248" s="15">
        <v>1.25</v>
      </c>
      <c r="I248" s="17">
        <v>5145.5</v>
      </c>
      <c r="J248" s="18" t="s">
        <v>23</v>
      </c>
      <c r="K248" t="str">
        <f t="shared" si="3"/>
        <v>W35</v>
      </c>
    </row>
    <row r="249" spans="1:11" x14ac:dyDescent="0.35">
      <c r="A249" s="4">
        <v>46267</v>
      </c>
      <c r="B249" s="12">
        <v>0.98</v>
      </c>
      <c r="C249" s="13">
        <v>0.55179668480734001</v>
      </c>
      <c r="D249" s="14">
        <v>207.54137931034487</v>
      </c>
      <c r="E249" s="15">
        <v>8.0554704993115678</v>
      </c>
      <c r="F249" s="15">
        <v>1.6814694203067109</v>
      </c>
      <c r="G249" s="16">
        <v>18</v>
      </c>
      <c r="H249" s="15">
        <v>1.6111111111111112</v>
      </c>
      <c r="I249" s="17">
        <v>6018.7000000000007</v>
      </c>
      <c r="J249" s="18" t="s">
        <v>23</v>
      </c>
      <c r="K249" t="str">
        <f t="shared" si="3"/>
        <v>W35</v>
      </c>
    </row>
    <row r="250" spans="1:11" x14ac:dyDescent="0.35">
      <c r="A250" s="4">
        <v>46268</v>
      </c>
      <c r="B250" s="12">
        <v>0.98</v>
      </c>
      <c r="C250" s="13">
        <v>0.53857973496046097</v>
      </c>
      <c r="D250" s="14">
        <v>207.47625000000008</v>
      </c>
      <c r="E250" s="15">
        <v>7.9171221039187749</v>
      </c>
      <c r="F250" s="15">
        <v>1.539023141202909</v>
      </c>
      <c r="G250" s="16">
        <v>25</v>
      </c>
      <c r="H250" s="15">
        <v>1.6</v>
      </c>
      <c r="I250" s="17">
        <v>8299.0500000000029</v>
      </c>
      <c r="J250" s="18" t="s">
        <v>23</v>
      </c>
      <c r="K250" t="str">
        <f t="shared" si="3"/>
        <v>W36</v>
      </c>
    </row>
    <row r="251" spans="1:11" x14ac:dyDescent="0.35">
      <c r="A251" s="4">
        <v>46269</v>
      </c>
      <c r="B251" s="12">
        <v>0.98</v>
      </c>
      <c r="C251" s="13">
        <v>0.47948911066288402</v>
      </c>
      <c r="D251" s="14">
        <v>205.75892857142858</v>
      </c>
      <c r="E251" s="15">
        <v>10.069271323920562</v>
      </c>
      <c r="F251" s="15">
        <v>1.5517379041006727</v>
      </c>
      <c r="G251" s="16">
        <v>25</v>
      </c>
      <c r="H251" s="15">
        <v>1.1200000000000001</v>
      </c>
      <c r="I251" s="17">
        <v>5761.25</v>
      </c>
      <c r="J251" s="18" t="s">
        <v>23</v>
      </c>
      <c r="K251" t="str">
        <f t="shared" si="3"/>
        <v>W36</v>
      </c>
    </row>
    <row r="252" spans="1:11" x14ac:dyDescent="0.35">
      <c r="A252" s="4">
        <v>46270</v>
      </c>
      <c r="B252" s="12">
        <v>0.96</v>
      </c>
      <c r="C252" s="13">
        <v>0.50010765508126798</v>
      </c>
      <c r="D252" s="14">
        <v>199.32000000000002</v>
      </c>
      <c r="E252" s="15">
        <v>9.6020669775603444</v>
      </c>
      <c r="F252" s="15">
        <v>1.9852331259616025</v>
      </c>
      <c r="G252" s="16">
        <v>25</v>
      </c>
      <c r="H252" s="15">
        <v>1.2</v>
      </c>
      <c r="I252" s="17">
        <v>5979.6</v>
      </c>
      <c r="J252" s="18" t="s">
        <v>23</v>
      </c>
      <c r="K252" t="str">
        <f t="shared" si="3"/>
        <v>W36</v>
      </c>
    </row>
    <row r="253" spans="1:11" x14ac:dyDescent="0.35">
      <c r="A253" s="4">
        <v>46271</v>
      </c>
      <c r="B253" s="12">
        <v>0.98</v>
      </c>
      <c r="C253" s="13">
        <v>0.58048753485466797</v>
      </c>
      <c r="D253" s="14">
        <v>206.41710526315785</v>
      </c>
      <c r="E253" s="15">
        <v>8.9822808024880203</v>
      </c>
      <c r="F253" s="15">
        <v>1.5954792608221728</v>
      </c>
      <c r="G253" s="16">
        <v>25</v>
      </c>
      <c r="H253" s="15">
        <v>1.52</v>
      </c>
      <c r="I253" s="17">
        <v>7843.8499999999985</v>
      </c>
      <c r="J253" s="18" t="s">
        <v>23</v>
      </c>
      <c r="K253" t="str">
        <f t="shared" si="3"/>
        <v>W36</v>
      </c>
    </row>
    <row r="254" spans="1:11" x14ac:dyDescent="0.35">
      <c r="A254" s="4">
        <v>46272</v>
      </c>
      <c r="B254" s="12">
        <v>0.98</v>
      </c>
      <c r="C254" s="13">
        <v>0.50630715748629496</v>
      </c>
      <c r="D254" s="14">
        <v>204.575641025641</v>
      </c>
      <c r="E254" s="15">
        <v>7.6335540667164459</v>
      </c>
      <c r="F254" s="15">
        <v>1.7515557533104802</v>
      </c>
      <c r="G254" s="16">
        <v>25</v>
      </c>
      <c r="H254" s="15">
        <v>1.56</v>
      </c>
      <c r="I254" s="17">
        <v>7978.4499999999989</v>
      </c>
      <c r="J254" s="18" t="s">
        <v>23</v>
      </c>
      <c r="K254" t="str">
        <f t="shared" si="3"/>
        <v>W36</v>
      </c>
    </row>
    <row r="255" spans="1:11" x14ac:dyDescent="0.35">
      <c r="A255" s="4">
        <v>46273</v>
      </c>
      <c r="B255" s="12">
        <v>0.98</v>
      </c>
      <c r="C255" s="13">
        <v>0.60246044894573003</v>
      </c>
      <c r="D255" s="14">
        <v>208.71097560975608</v>
      </c>
      <c r="E255" s="15">
        <v>9.6769842257975611</v>
      </c>
      <c r="F255" s="15">
        <v>1.7810544398543908</v>
      </c>
      <c r="G255" s="16">
        <v>28</v>
      </c>
      <c r="H255" s="15">
        <v>1.4642857142857142</v>
      </c>
      <c r="I255" s="17">
        <v>8557.15</v>
      </c>
      <c r="J255" s="18" t="s">
        <v>23</v>
      </c>
      <c r="K255" t="str">
        <f t="shared" si="3"/>
        <v>W36</v>
      </c>
    </row>
    <row r="256" spans="1:11" x14ac:dyDescent="0.35">
      <c r="A256" s="4">
        <v>46274</v>
      </c>
      <c r="B256" s="12">
        <v>0.98</v>
      </c>
      <c r="C256" s="13">
        <v>0.54586897056993999</v>
      </c>
      <c r="D256" s="14">
        <v>210.70333333333332</v>
      </c>
      <c r="E256" s="15">
        <v>7.9886104279675481</v>
      </c>
      <c r="F256" s="15">
        <v>1.690808034466575</v>
      </c>
      <c r="G256" s="16">
        <v>28</v>
      </c>
      <c r="H256" s="15">
        <v>1.6071428571428572</v>
      </c>
      <c r="I256" s="17">
        <v>9481.65</v>
      </c>
      <c r="J256" s="18" t="s">
        <v>23</v>
      </c>
      <c r="K256" t="str">
        <f t="shared" si="3"/>
        <v>W36</v>
      </c>
    </row>
    <row r="257" spans="1:11" x14ac:dyDescent="0.35">
      <c r="A257" s="4">
        <v>46275</v>
      </c>
      <c r="B257" s="12">
        <v>0.98</v>
      </c>
      <c r="C257" s="13">
        <v>0.51768327718797502</v>
      </c>
      <c r="D257" s="14">
        <v>207.33695652173913</v>
      </c>
      <c r="E257" s="15">
        <v>6.6173427605767232</v>
      </c>
      <c r="F257" s="15">
        <v>1.2752922673656619</v>
      </c>
      <c r="G257" s="16">
        <v>25</v>
      </c>
      <c r="H257" s="15">
        <v>1.84</v>
      </c>
      <c r="I257" s="17">
        <v>9537.5</v>
      </c>
      <c r="J257" s="18" t="s">
        <v>23</v>
      </c>
      <c r="K257" t="str">
        <f t="shared" si="3"/>
        <v>W37</v>
      </c>
    </row>
    <row r="258" spans="1:11" x14ac:dyDescent="0.35">
      <c r="A258" s="4">
        <v>46276</v>
      </c>
      <c r="B258" s="12">
        <v>1</v>
      </c>
      <c r="C258" s="13">
        <v>0.29626589739676801</v>
      </c>
      <c r="D258" s="14">
        <v>210.90882352941176</v>
      </c>
      <c r="E258" s="15">
        <v>7.1103815375224322</v>
      </c>
      <c r="F258" s="15">
        <v>1.4526293770656404</v>
      </c>
      <c r="G258" s="16">
        <v>17</v>
      </c>
      <c r="H258" s="15">
        <v>1</v>
      </c>
      <c r="I258" s="17">
        <v>3585.45</v>
      </c>
      <c r="J258" s="18" t="s">
        <v>23</v>
      </c>
      <c r="K258" t="str">
        <f t="shared" si="3"/>
        <v>W37</v>
      </c>
    </row>
    <row r="259" spans="1:11" x14ac:dyDescent="0.35">
      <c r="A259" s="4">
        <v>46277</v>
      </c>
      <c r="B259" s="12"/>
      <c r="C259" s="13"/>
      <c r="D259" s="14"/>
      <c r="E259" s="15"/>
      <c r="F259" s="15"/>
      <c r="G259" s="16"/>
      <c r="H259" s="15"/>
      <c r="I259" s="17"/>
      <c r="J259" s="18" t="s">
        <v>24</v>
      </c>
      <c r="K259" t="str">
        <f t="shared" si="3"/>
        <v>W37</v>
      </c>
    </row>
    <row r="260" spans="1:11" x14ac:dyDescent="0.35">
      <c r="A260" s="4">
        <v>46278</v>
      </c>
      <c r="B260" s="12"/>
      <c r="C260" s="13"/>
      <c r="D260" s="14"/>
      <c r="E260" s="15"/>
      <c r="F260" s="15"/>
      <c r="G260" s="16"/>
      <c r="H260" s="15"/>
      <c r="I260" s="17"/>
      <c r="J260" s="18" t="s">
        <v>24</v>
      </c>
      <c r="K260" t="str">
        <f t="shared" si="3"/>
        <v>W37</v>
      </c>
    </row>
    <row r="261" spans="1:11" x14ac:dyDescent="0.35">
      <c r="A261" s="4">
        <v>46279</v>
      </c>
      <c r="B261" s="12"/>
      <c r="C261" s="13"/>
      <c r="D261" s="14"/>
      <c r="E261" s="15"/>
      <c r="F261" s="15"/>
      <c r="G261" s="16"/>
      <c r="H261" s="15"/>
      <c r="I261" s="17"/>
      <c r="J261" s="18" t="s">
        <v>24</v>
      </c>
      <c r="K261" t="str">
        <f t="shared" ref="K261:K324" si="4">"W"&amp;TEXT(INT((A261-DATE(2026,1,1))/7)+1,"00")</f>
        <v>W37</v>
      </c>
    </row>
    <row r="262" spans="1:11" x14ac:dyDescent="0.35">
      <c r="A262" s="4">
        <v>46280</v>
      </c>
      <c r="B262" s="12"/>
      <c r="C262" s="13"/>
      <c r="D262" s="14"/>
      <c r="E262" s="15"/>
      <c r="F262" s="15"/>
      <c r="G262" s="16"/>
      <c r="H262" s="15"/>
      <c r="I262" s="17"/>
      <c r="J262" s="18" t="s">
        <v>24</v>
      </c>
      <c r="K262" t="str">
        <f t="shared" si="4"/>
        <v>W37</v>
      </c>
    </row>
    <row r="263" spans="1:11" x14ac:dyDescent="0.35">
      <c r="A263" s="4">
        <v>46281</v>
      </c>
      <c r="B263" s="12"/>
      <c r="C263" s="13"/>
      <c r="D263" s="14"/>
      <c r="E263" s="15"/>
      <c r="F263" s="15"/>
      <c r="G263" s="16"/>
      <c r="H263" s="15"/>
      <c r="I263" s="17"/>
      <c r="J263" s="18" t="s">
        <v>24</v>
      </c>
      <c r="K263" t="str">
        <f t="shared" si="4"/>
        <v>W37</v>
      </c>
    </row>
    <row r="264" spans="1:11" x14ac:dyDescent="0.35">
      <c r="A264" s="4">
        <v>46282</v>
      </c>
      <c r="B264" s="12"/>
      <c r="C264" s="13"/>
      <c r="D264" s="14"/>
      <c r="E264" s="15"/>
      <c r="F264" s="15"/>
      <c r="G264" s="16"/>
      <c r="H264" s="15"/>
      <c r="I264" s="17"/>
      <c r="J264" s="18" t="s">
        <v>24</v>
      </c>
      <c r="K264" t="str">
        <f t="shared" si="4"/>
        <v>W38</v>
      </c>
    </row>
    <row r="265" spans="1:11" x14ac:dyDescent="0.35">
      <c r="A265" s="4">
        <v>46283</v>
      </c>
      <c r="B265" s="12">
        <v>0.97</v>
      </c>
      <c r="C265" s="13">
        <v>0.49314425220125879</v>
      </c>
      <c r="D265" s="14">
        <v>206.43333333333331</v>
      </c>
      <c r="E265" s="15">
        <v>11.480398191245305</v>
      </c>
      <c r="F265" s="15">
        <v>1.7223914096560633</v>
      </c>
      <c r="G265" s="16">
        <v>30</v>
      </c>
      <c r="H265" s="15">
        <v>1</v>
      </c>
      <c r="I265" s="17">
        <v>6192.9999999999991</v>
      </c>
      <c r="J265" s="18" t="s">
        <v>23</v>
      </c>
      <c r="K265" t="str">
        <f t="shared" si="4"/>
        <v>W38</v>
      </c>
    </row>
    <row r="266" spans="1:11" x14ac:dyDescent="0.35">
      <c r="A266" s="4">
        <v>46284</v>
      </c>
      <c r="B266" s="12">
        <v>0.98</v>
      </c>
      <c r="C266" s="13">
        <v>0.56908982435313515</v>
      </c>
      <c r="D266" s="14">
        <v>206.68906250000001</v>
      </c>
      <c r="E266" s="15">
        <v>12.548430626986629</v>
      </c>
      <c r="F266" s="15">
        <v>1.6053734096355485</v>
      </c>
      <c r="G266" s="16">
        <v>30</v>
      </c>
      <c r="H266" s="15">
        <v>1.0666666666666667</v>
      </c>
      <c r="I266" s="17">
        <v>6614.05</v>
      </c>
      <c r="J266" s="18" t="s">
        <v>23</v>
      </c>
      <c r="K266" t="str">
        <f t="shared" si="4"/>
        <v>W38</v>
      </c>
    </row>
    <row r="267" spans="1:11" x14ac:dyDescent="0.35">
      <c r="A267" s="4">
        <v>46285</v>
      </c>
      <c r="B267" s="12">
        <v>1</v>
      </c>
      <c r="C267" s="13">
        <v>0.26640923076923079</v>
      </c>
      <c r="D267" s="14">
        <v>202.69333333333333</v>
      </c>
      <c r="E267" s="15">
        <v>6.3938215384615393</v>
      </c>
      <c r="F267" s="15">
        <v>1.66</v>
      </c>
      <c r="G267" s="16">
        <v>15</v>
      </c>
      <c r="H267" s="15">
        <v>1</v>
      </c>
      <c r="I267" s="17">
        <v>3040.4</v>
      </c>
      <c r="J267" s="18" t="s">
        <v>25</v>
      </c>
      <c r="K267" t="str">
        <f t="shared" si="4"/>
        <v>W38</v>
      </c>
    </row>
    <row r="268" spans="1:11" x14ac:dyDescent="0.35">
      <c r="A268" s="4">
        <v>46286</v>
      </c>
      <c r="B268" s="12">
        <v>0.97</v>
      </c>
      <c r="C268" s="13">
        <v>0.55904804004016595</v>
      </c>
      <c r="D268" s="14">
        <v>209.52105263157893</v>
      </c>
      <c r="E268" s="15">
        <v>10.274714504317156</v>
      </c>
      <c r="F268" s="15">
        <v>2.1373232183677056</v>
      </c>
      <c r="G268" s="16">
        <v>30</v>
      </c>
      <c r="H268" s="15">
        <v>1.2666666666666666</v>
      </c>
      <c r="I268" s="17">
        <v>7961.7999999999993</v>
      </c>
      <c r="J268" s="18" t="s">
        <v>23</v>
      </c>
      <c r="K268" t="str">
        <f t="shared" si="4"/>
        <v>W38</v>
      </c>
    </row>
    <row r="269" spans="1:11" x14ac:dyDescent="0.35">
      <c r="A269" s="4">
        <v>46287</v>
      </c>
      <c r="B269" s="12">
        <v>0.97</v>
      </c>
      <c r="C269" s="13">
        <v>0.5788479708806179</v>
      </c>
      <c r="D269" s="14">
        <v>204.24727272727273</v>
      </c>
      <c r="E269" s="15">
        <v>7.3503167793277013</v>
      </c>
      <c r="F269" s="15">
        <v>1.4923274818401935</v>
      </c>
      <c r="G269" s="16">
        <v>30</v>
      </c>
      <c r="H269" s="15">
        <v>1.8333333333333333</v>
      </c>
      <c r="I269" s="17">
        <v>11233.6</v>
      </c>
      <c r="J269" s="18" t="s">
        <v>23</v>
      </c>
      <c r="K269" t="str">
        <f t="shared" si="4"/>
        <v>W38</v>
      </c>
    </row>
    <row r="270" spans="1:11" x14ac:dyDescent="0.35">
      <c r="A270" s="4">
        <v>46288</v>
      </c>
      <c r="B270" s="12">
        <v>0.98</v>
      </c>
      <c r="C270" s="13">
        <v>0.36911002097649026</v>
      </c>
      <c r="D270" s="14">
        <v>211.01400000000001</v>
      </c>
      <c r="E270" s="15">
        <v>8.3342089856323671</v>
      </c>
      <c r="F270" s="15">
        <v>2.0768858938269497</v>
      </c>
      <c r="G270" s="16">
        <v>24</v>
      </c>
      <c r="H270" s="15">
        <v>1.0416666666666667</v>
      </c>
      <c r="I270" s="17">
        <v>5275.35</v>
      </c>
      <c r="J270" s="18" t="s">
        <v>23</v>
      </c>
      <c r="K270" t="str">
        <f t="shared" si="4"/>
        <v>W38</v>
      </c>
    </row>
    <row r="271" spans="1:11" x14ac:dyDescent="0.35">
      <c r="A271" s="4">
        <v>46289</v>
      </c>
      <c r="B271" s="12">
        <v>0.98</v>
      </c>
      <c r="C271" s="13">
        <v>0.60417424721372937</v>
      </c>
      <c r="D271" s="14">
        <v>199.16136363636363</v>
      </c>
      <c r="E271" s="15">
        <v>7.5357006107021514</v>
      </c>
      <c r="F271" s="15">
        <v>1.1735283936810794</v>
      </c>
      <c r="G271" s="16">
        <v>35</v>
      </c>
      <c r="H271" s="15">
        <v>1.8857142857142857</v>
      </c>
      <c r="I271" s="17">
        <v>13144.65</v>
      </c>
      <c r="J271" s="18" t="s">
        <v>23</v>
      </c>
      <c r="K271" t="str">
        <f t="shared" si="4"/>
        <v>W39</v>
      </c>
    </row>
    <row r="272" spans="1:11" x14ac:dyDescent="0.35">
      <c r="A272" s="4">
        <v>46290</v>
      </c>
      <c r="B272" s="12">
        <v>0.99399999999999999</v>
      </c>
      <c r="C272" s="13">
        <v>0.7391295200000001</v>
      </c>
      <c r="D272" s="14">
        <v>206.14264705882346</v>
      </c>
      <c r="E272" s="15">
        <v>6.48260067247059</v>
      </c>
      <c r="F272" s="15">
        <v>1.54</v>
      </c>
      <c r="G272" s="16">
        <v>25</v>
      </c>
      <c r="H272" s="15">
        <v>2.72</v>
      </c>
      <c r="I272" s="17">
        <v>14017.699999999995</v>
      </c>
      <c r="J272" s="18" t="s">
        <v>25</v>
      </c>
      <c r="K272" t="str">
        <f t="shared" si="4"/>
        <v>W39</v>
      </c>
    </row>
    <row r="273" spans="1:11" x14ac:dyDescent="0.35">
      <c r="A273" s="4">
        <v>46291</v>
      </c>
      <c r="B273" s="12">
        <v>0.98399999999999999</v>
      </c>
      <c r="C273" s="13">
        <v>0.82656691937600246</v>
      </c>
      <c r="D273" s="14">
        <v>204.01369863013699</v>
      </c>
      <c r="E273" s="15">
        <v>6.6850014958848201</v>
      </c>
      <c r="F273" s="15">
        <v>1.4609662257436378</v>
      </c>
      <c r="G273" s="16">
        <v>25</v>
      </c>
      <c r="H273" s="15">
        <v>2.92</v>
      </c>
      <c r="I273" s="17">
        <v>14893</v>
      </c>
      <c r="J273" s="18" t="s">
        <v>23</v>
      </c>
      <c r="K273" t="str">
        <f t="shared" si="4"/>
        <v>W39</v>
      </c>
    </row>
    <row r="274" spans="1:11" x14ac:dyDescent="0.35">
      <c r="A274" s="4">
        <v>46292</v>
      </c>
      <c r="B274" s="12">
        <v>0.98199999999999998</v>
      </c>
      <c r="C274" s="13">
        <v>0.81911752000000004</v>
      </c>
      <c r="D274" s="14">
        <v>202.19315068493151</v>
      </c>
      <c r="E274" s="15">
        <v>6.6112882573150689</v>
      </c>
      <c r="F274" s="15">
        <v>1.4741261915569679</v>
      </c>
      <c r="G274" s="16">
        <v>25</v>
      </c>
      <c r="H274" s="15">
        <v>2.92</v>
      </c>
      <c r="I274" s="17">
        <v>14760.1</v>
      </c>
      <c r="J274" s="18" t="s">
        <v>23</v>
      </c>
      <c r="K274" t="str">
        <f t="shared" si="4"/>
        <v>W39</v>
      </c>
    </row>
    <row r="275" spans="1:11" x14ac:dyDescent="0.35">
      <c r="A275" s="4">
        <v>46293</v>
      </c>
      <c r="B275" s="12">
        <v>0.98799999999999999</v>
      </c>
      <c r="C275" s="13">
        <v>0.75756858333333321</v>
      </c>
      <c r="D275" s="14">
        <v>206.14152542372881</v>
      </c>
      <c r="E275" s="15">
        <v>7.3071727110508453</v>
      </c>
      <c r="F275" s="15">
        <v>1.66</v>
      </c>
      <c r="G275" s="16">
        <v>24</v>
      </c>
      <c r="H275" s="15">
        <v>2.4583333333333335</v>
      </c>
      <c r="I275" s="17">
        <v>12162.35</v>
      </c>
      <c r="J275" s="18" t="s">
        <v>25</v>
      </c>
      <c r="K275" t="str">
        <f t="shared" si="4"/>
        <v>W39</v>
      </c>
    </row>
    <row r="276" spans="1:11" x14ac:dyDescent="0.35">
      <c r="A276" s="4">
        <v>46294</v>
      </c>
      <c r="B276" s="12">
        <v>0.97399999999999998</v>
      </c>
      <c r="C276" s="13">
        <v>0.82460880000000003</v>
      </c>
      <c r="D276" s="14">
        <v>199.07857142857145</v>
      </c>
      <c r="E276" s="15">
        <v>6.8843054674285717</v>
      </c>
      <c r="F276" s="15">
        <v>1.54</v>
      </c>
      <c r="G276" s="16">
        <v>25</v>
      </c>
      <c r="H276" s="15">
        <v>2.8</v>
      </c>
      <c r="I276" s="17">
        <v>13935.500000000002</v>
      </c>
      <c r="J276" s="18" t="s">
        <v>25</v>
      </c>
      <c r="K276" t="str">
        <f t="shared" si="4"/>
        <v>W39</v>
      </c>
    </row>
    <row r="277" spans="1:11" x14ac:dyDescent="0.35">
      <c r="A277" s="4">
        <v>46295</v>
      </c>
      <c r="B277" s="12">
        <v>0.99</v>
      </c>
      <c r="C277" s="13">
        <v>0.84248235999999999</v>
      </c>
      <c r="D277" s="14">
        <v>205.73888888888894</v>
      </c>
      <c r="E277" s="15">
        <v>6.9504794699999994</v>
      </c>
      <c r="F277" s="15">
        <v>1.39</v>
      </c>
      <c r="G277" s="16">
        <v>25</v>
      </c>
      <c r="H277" s="15">
        <v>2.88</v>
      </c>
      <c r="I277" s="17">
        <v>14813.200000000003</v>
      </c>
      <c r="J277" s="18" t="s">
        <v>25</v>
      </c>
      <c r="K277" t="str">
        <f t="shared" si="4"/>
        <v>W39</v>
      </c>
    </row>
    <row r="278" spans="1:11" x14ac:dyDescent="0.35">
      <c r="A278" s="4">
        <v>46296</v>
      </c>
      <c r="B278" s="12">
        <v>0.98599999999999999</v>
      </c>
      <c r="C278" s="13">
        <v>0.8344871538461538</v>
      </c>
      <c r="D278" s="14">
        <v>208.57770270270271</v>
      </c>
      <c r="E278" s="15">
        <v>8.1177430802983785</v>
      </c>
      <c r="F278" s="15">
        <v>1.6044309107695298</v>
      </c>
      <c r="G278" s="16">
        <v>26</v>
      </c>
      <c r="H278" s="15">
        <v>2.8461538461538463</v>
      </c>
      <c r="I278" s="17">
        <v>15434.75</v>
      </c>
      <c r="J278" s="18"/>
      <c r="K278" t="str">
        <f t="shared" si="4"/>
        <v>W40</v>
      </c>
    </row>
    <row r="279" spans="1:11" x14ac:dyDescent="0.35">
      <c r="A279" s="4">
        <v>46297</v>
      </c>
      <c r="B279" s="12">
        <v>0.98099999999999998</v>
      </c>
      <c r="C279" s="13">
        <v>0.80017071428571429</v>
      </c>
      <c r="D279" s="14">
        <v>201.46805555555557</v>
      </c>
      <c r="E279" s="15">
        <v>8.5718447801999993</v>
      </c>
      <c r="F279" s="15">
        <v>1.6589395892649097</v>
      </c>
      <c r="G279" s="16">
        <v>28</v>
      </c>
      <c r="H279" s="15">
        <v>2.5714285714285716</v>
      </c>
      <c r="I279" s="17">
        <v>14505.7</v>
      </c>
      <c r="J279" s="18"/>
      <c r="K279" t="str">
        <f t="shared" si="4"/>
        <v>W40</v>
      </c>
    </row>
    <row r="280" spans="1:11" x14ac:dyDescent="0.35">
      <c r="A280" s="4">
        <v>46298</v>
      </c>
      <c r="B280" s="12">
        <v>0.96899999999999997</v>
      </c>
      <c r="C280" s="13">
        <v>0.81552237931034466</v>
      </c>
      <c r="D280" s="14">
        <v>199.49252873563222</v>
      </c>
      <c r="E280" s="15">
        <v>7.3966574967641376</v>
      </c>
      <c r="F280" s="15">
        <v>1.3998680560156953</v>
      </c>
      <c r="G280" s="16">
        <v>29</v>
      </c>
      <c r="H280" s="15">
        <v>3</v>
      </c>
      <c r="I280" s="17">
        <v>17355.849999999999</v>
      </c>
      <c r="J280" s="18"/>
      <c r="K280" t="str">
        <f t="shared" si="4"/>
        <v>W40</v>
      </c>
    </row>
    <row r="281" spans="1:11" x14ac:dyDescent="0.35">
      <c r="A281" s="4">
        <v>46299</v>
      </c>
      <c r="B281" s="12">
        <v>0.97699999999999998</v>
      </c>
      <c r="C281" s="13">
        <v>0.84185928571428581</v>
      </c>
      <c r="D281" s="14">
        <v>204.30872093023262</v>
      </c>
      <c r="E281" s="15">
        <v>7.5195309949953488</v>
      </c>
      <c r="F281" s="15">
        <v>1.4980128681230811</v>
      </c>
      <c r="G281" s="16">
        <v>28</v>
      </c>
      <c r="H281" s="15">
        <v>3.0714285714285716</v>
      </c>
      <c r="I281" s="17">
        <v>17570.55</v>
      </c>
      <c r="J281" s="18"/>
      <c r="K281" t="str">
        <f t="shared" si="4"/>
        <v>W40</v>
      </c>
    </row>
    <row r="282" spans="1:11" x14ac:dyDescent="0.35">
      <c r="A282" s="4">
        <v>46300</v>
      </c>
      <c r="B282" s="12">
        <v>0.96299999999999997</v>
      </c>
      <c r="C282" s="13">
        <v>0.75068272222222243</v>
      </c>
      <c r="D282" s="14">
        <v>205.95773809523797</v>
      </c>
      <c r="E282" s="15">
        <v>8.699674936680001</v>
      </c>
      <c r="F282" s="15">
        <v>1.8237930227248422</v>
      </c>
      <c r="G282" s="16">
        <v>36</v>
      </c>
      <c r="H282" s="15">
        <v>2.3333333333333335</v>
      </c>
      <c r="I282" s="17">
        <v>17300.45</v>
      </c>
      <c r="J282" s="18"/>
      <c r="K282" t="str">
        <f t="shared" si="4"/>
        <v>W40</v>
      </c>
    </row>
    <row r="283" spans="1:11" x14ac:dyDescent="0.35">
      <c r="A283" s="4">
        <v>46301</v>
      </c>
      <c r="B283" s="12">
        <v>0.95899999999999996</v>
      </c>
      <c r="C283" s="13">
        <v>0.83819005128205148</v>
      </c>
      <c r="D283" s="14">
        <v>204.14567307692306</v>
      </c>
      <c r="E283" s="15">
        <v>8.4642694491600015</v>
      </c>
      <c r="F283" s="15">
        <v>1.4167772353358155</v>
      </c>
      <c r="G283" s="16">
        <v>39</v>
      </c>
      <c r="H283" s="15">
        <v>2.6666666666666665</v>
      </c>
      <c r="I283" s="17">
        <v>21231.15</v>
      </c>
      <c r="J283" s="18"/>
      <c r="K283" t="str">
        <f t="shared" si="4"/>
        <v>W40</v>
      </c>
    </row>
    <row r="284" spans="1:11" x14ac:dyDescent="0.35">
      <c r="A284" s="4">
        <v>46302</v>
      </c>
      <c r="B284" s="12">
        <v>0.96199999999999997</v>
      </c>
      <c r="C284" s="13">
        <v>0.83539469999999993</v>
      </c>
      <c r="D284" s="14">
        <v>205.55272287753024</v>
      </c>
      <c r="E284" s="15">
        <v>8.9023742702606956</v>
      </c>
      <c r="F284" s="15">
        <v>1.55</v>
      </c>
      <c r="G284" s="16">
        <v>43</v>
      </c>
      <c r="H284" s="15">
        <v>2.5348837209302326</v>
      </c>
      <c r="I284" s="17">
        <v>22405.246793650793</v>
      </c>
      <c r="J284" s="18"/>
      <c r="K284" t="str">
        <f t="shared" si="4"/>
        <v>W40</v>
      </c>
    </row>
    <row r="285" spans="1:11" x14ac:dyDescent="0.35">
      <c r="A285" s="4">
        <v>46303</v>
      </c>
      <c r="B285" s="12">
        <v>0.97299999999999998</v>
      </c>
      <c r="C285" s="13">
        <v>0.85170000000000001</v>
      </c>
      <c r="D285" s="14">
        <v>205.75299999999999</v>
      </c>
      <c r="E285" s="15">
        <v>8.57</v>
      </c>
      <c r="F285" s="15">
        <v>1.48</v>
      </c>
      <c r="G285" s="16">
        <v>42</v>
      </c>
      <c r="H285" s="15">
        <v>2.71</v>
      </c>
      <c r="I285" s="17">
        <v>23455.842222222225</v>
      </c>
      <c r="J285" s="18"/>
      <c r="K285" t="str">
        <f t="shared" si="4"/>
        <v>W41</v>
      </c>
    </row>
    <row r="286" spans="1:11" x14ac:dyDescent="0.35">
      <c r="A286" s="4">
        <v>46304</v>
      </c>
      <c r="B286" s="12">
        <v>0.96099999999999997</v>
      </c>
      <c r="C286" s="13">
        <v>0.79454876190476198</v>
      </c>
      <c r="D286" s="14">
        <v>205.67298742138368</v>
      </c>
      <c r="E286" s="15">
        <v>9.3044994125550406</v>
      </c>
      <c r="F286" s="15">
        <v>1.63</v>
      </c>
      <c r="G286" s="16">
        <v>46</v>
      </c>
      <c r="H286" s="15">
        <v>2.3043478260869565</v>
      </c>
      <c r="I286" s="17">
        <v>21801.336666666666</v>
      </c>
      <c r="J286" s="18"/>
      <c r="K286" t="str">
        <f t="shared" si="4"/>
        <v>W41</v>
      </c>
    </row>
    <row r="287" spans="1:11" x14ac:dyDescent="0.35">
      <c r="A287" s="4">
        <v>46305</v>
      </c>
      <c r="B287" s="12">
        <v>0.97499999999999998</v>
      </c>
      <c r="C287" s="13">
        <v>0.83873485714285734</v>
      </c>
      <c r="D287" s="14">
        <v>206.13275362318845</v>
      </c>
      <c r="E287" s="15">
        <v>8.99</v>
      </c>
      <c r="F287" s="15">
        <v>1.53</v>
      </c>
      <c r="G287" s="16">
        <v>45</v>
      </c>
      <c r="H287" s="15">
        <v>2.5555555555555554</v>
      </c>
      <c r="I287" s="17">
        <v>23705.266666666666</v>
      </c>
      <c r="J287" s="18"/>
      <c r="K287" t="str">
        <f t="shared" si="4"/>
        <v>W41</v>
      </c>
    </row>
    <row r="288" spans="1:11" x14ac:dyDescent="0.35">
      <c r="A288" s="4">
        <v>46306</v>
      </c>
      <c r="B288" s="12">
        <v>0.94499999999999995</v>
      </c>
      <c r="C288" s="13">
        <v>0.82056354545454535</v>
      </c>
      <c r="D288" s="14">
        <v>207.54529914529917</v>
      </c>
      <c r="E288" s="15">
        <v>8.9329829812363624</v>
      </c>
      <c r="F288" s="15">
        <v>1.5667196534172338</v>
      </c>
      <c r="G288" s="16">
        <v>48</v>
      </c>
      <c r="H288" s="15">
        <v>2.4375</v>
      </c>
      <c r="I288" s="17">
        <v>24282.799999999999</v>
      </c>
      <c r="J288" s="18"/>
      <c r="K288" t="str">
        <f t="shared" si="4"/>
        <v>W41</v>
      </c>
    </row>
    <row r="289" spans="1:11" x14ac:dyDescent="0.35">
      <c r="A289" s="4">
        <v>46307</v>
      </c>
      <c r="B289" s="12">
        <v>0.96209999999999996</v>
      </c>
      <c r="C289" s="13">
        <v>0.83016212499999975</v>
      </c>
      <c r="D289" s="14">
        <v>201.35073529411761</v>
      </c>
      <c r="E289" s="15">
        <v>8.7401159609081667</v>
      </c>
      <c r="F289" s="15">
        <v>1.5808791361284262</v>
      </c>
      <c r="G289" s="16">
        <v>53</v>
      </c>
      <c r="H289" s="15">
        <v>2.5660377358490565</v>
      </c>
      <c r="I289" s="17">
        <v>27383.7</v>
      </c>
      <c r="J289" s="18"/>
      <c r="K289" t="str">
        <f t="shared" si="4"/>
        <v>W41</v>
      </c>
    </row>
    <row r="290" spans="1:11" x14ac:dyDescent="0.35">
      <c r="A290" s="4">
        <v>46308</v>
      </c>
      <c r="B290" s="12">
        <v>0.95799999999999996</v>
      </c>
      <c r="C290" s="13">
        <v>0.89405725531914881</v>
      </c>
      <c r="D290" s="14">
        <v>206.80714285714285</v>
      </c>
      <c r="E290" s="15">
        <v>7.7679319438874677</v>
      </c>
      <c r="F290" s="15">
        <v>1.4127814343786558</v>
      </c>
      <c r="G290" s="16">
        <v>52</v>
      </c>
      <c r="H290" s="15">
        <v>3.0961538461538463</v>
      </c>
      <c r="I290" s="17">
        <v>33295.949999999997</v>
      </c>
      <c r="J290" s="18"/>
      <c r="K290" t="str">
        <f t="shared" si="4"/>
        <v>W41</v>
      </c>
    </row>
    <row r="291" spans="1:11" x14ac:dyDescent="0.35">
      <c r="A291" s="4">
        <v>46309</v>
      </c>
      <c r="B291" s="12"/>
      <c r="C291" s="13"/>
      <c r="D291" s="14"/>
      <c r="E291" s="15"/>
      <c r="F291" s="15"/>
      <c r="G291" s="16"/>
      <c r="H291" s="15"/>
      <c r="I291" s="17"/>
      <c r="J291" s="18"/>
      <c r="K291" t="str">
        <f t="shared" si="4"/>
        <v>W41</v>
      </c>
    </row>
    <row r="292" spans="1:11" x14ac:dyDescent="0.35">
      <c r="A292" s="4">
        <v>46310</v>
      </c>
      <c r="B292" s="12"/>
      <c r="C292" s="13"/>
      <c r="D292" s="14"/>
      <c r="E292" s="15"/>
      <c r="F292" s="15"/>
      <c r="G292" s="16"/>
      <c r="H292" s="15"/>
      <c r="I292" s="17"/>
      <c r="J292" s="18"/>
      <c r="K292" t="str">
        <f t="shared" si="4"/>
        <v>W42</v>
      </c>
    </row>
    <row r="293" spans="1:11" x14ac:dyDescent="0.35">
      <c r="A293" s="4">
        <v>46311</v>
      </c>
      <c r="B293" s="12"/>
      <c r="C293" s="13"/>
      <c r="D293" s="14"/>
      <c r="E293" s="15"/>
      <c r="F293" s="15"/>
      <c r="G293" s="16"/>
      <c r="H293" s="15"/>
      <c r="I293" s="17"/>
      <c r="J293" s="18"/>
      <c r="K293" t="str">
        <f t="shared" si="4"/>
        <v>W42</v>
      </c>
    </row>
    <row r="294" spans="1:11" x14ac:dyDescent="0.35">
      <c r="A294" s="4">
        <v>46312</v>
      </c>
      <c r="B294" s="12"/>
      <c r="C294" s="13"/>
      <c r="D294" s="14"/>
      <c r="E294" s="15"/>
      <c r="F294" s="15"/>
      <c r="G294" s="16"/>
      <c r="H294" s="15"/>
      <c r="I294" s="17"/>
      <c r="J294" s="18"/>
      <c r="K294" t="str">
        <f t="shared" si="4"/>
        <v>W42</v>
      </c>
    </row>
    <row r="295" spans="1:11" x14ac:dyDescent="0.35">
      <c r="A295" s="4">
        <v>46313</v>
      </c>
      <c r="B295" s="12"/>
      <c r="C295" s="13"/>
      <c r="D295" s="14"/>
      <c r="E295" s="15"/>
      <c r="F295" s="15"/>
      <c r="G295" s="16"/>
      <c r="H295" s="15"/>
      <c r="I295" s="17"/>
      <c r="J295" s="18"/>
      <c r="K295" t="str">
        <f t="shared" si="4"/>
        <v>W42</v>
      </c>
    </row>
    <row r="296" spans="1:11" x14ac:dyDescent="0.35">
      <c r="A296" s="4">
        <v>46314</v>
      </c>
      <c r="B296" s="12"/>
      <c r="C296" s="13"/>
      <c r="D296" s="14"/>
      <c r="E296" s="15"/>
      <c r="F296" s="15"/>
      <c r="G296" s="16"/>
      <c r="H296" s="15"/>
      <c r="I296" s="17"/>
      <c r="J296" s="18"/>
      <c r="K296" t="str">
        <f t="shared" si="4"/>
        <v>W42</v>
      </c>
    </row>
    <row r="297" spans="1:11" x14ac:dyDescent="0.35">
      <c r="A297" s="4">
        <v>46315</v>
      </c>
      <c r="B297" s="12"/>
      <c r="C297" s="13"/>
      <c r="D297" s="14"/>
      <c r="E297" s="15"/>
      <c r="F297" s="15"/>
      <c r="G297" s="16"/>
      <c r="H297" s="15"/>
      <c r="I297" s="17"/>
      <c r="J297" s="18"/>
      <c r="K297" t="str">
        <f t="shared" si="4"/>
        <v>W42</v>
      </c>
    </row>
    <row r="298" spans="1:11" x14ac:dyDescent="0.35">
      <c r="A298" s="4">
        <v>46316</v>
      </c>
      <c r="B298" s="12"/>
      <c r="C298" s="13"/>
      <c r="D298" s="14"/>
      <c r="E298" s="15"/>
      <c r="F298" s="15"/>
      <c r="G298" s="16"/>
      <c r="H298" s="15"/>
      <c r="I298" s="17"/>
      <c r="J298" s="18"/>
      <c r="K298" t="str">
        <f t="shared" si="4"/>
        <v>W42</v>
      </c>
    </row>
    <row r="299" spans="1:11" x14ac:dyDescent="0.35">
      <c r="A299" s="4">
        <v>46317</v>
      </c>
      <c r="B299" s="12"/>
      <c r="C299" s="13"/>
      <c r="D299" s="14"/>
      <c r="E299" s="15"/>
      <c r="F299" s="15"/>
      <c r="G299" s="16"/>
      <c r="H299" s="15"/>
      <c r="I299" s="17"/>
      <c r="J299" s="18"/>
      <c r="K299" t="str">
        <f t="shared" si="4"/>
        <v>W43</v>
      </c>
    </row>
    <row r="300" spans="1:11" x14ac:dyDescent="0.35">
      <c r="A300" s="4">
        <v>46318</v>
      </c>
      <c r="B300" s="12"/>
      <c r="C300" s="13"/>
      <c r="D300" s="14"/>
      <c r="E300" s="15"/>
      <c r="F300" s="15"/>
      <c r="G300" s="16"/>
      <c r="H300" s="15"/>
      <c r="I300" s="17"/>
      <c r="J300" s="18"/>
      <c r="K300" t="str">
        <f t="shared" si="4"/>
        <v>W43</v>
      </c>
    </row>
    <row r="301" spans="1:11" x14ac:dyDescent="0.35">
      <c r="A301" s="4">
        <v>46319</v>
      </c>
      <c r="B301" s="12"/>
      <c r="C301" s="13"/>
      <c r="D301" s="14"/>
      <c r="E301" s="15"/>
      <c r="F301" s="15"/>
      <c r="G301" s="16"/>
      <c r="H301" s="15"/>
      <c r="I301" s="17"/>
      <c r="J301" s="18"/>
      <c r="K301" t="str">
        <f t="shared" si="4"/>
        <v>W43</v>
      </c>
    </row>
    <row r="302" spans="1:11" x14ac:dyDescent="0.35">
      <c r="A302" s="4">
        <v>46320</v>
      </c>
      <c r="B302" s="12"/>
      <c r="C302" s="13"/>
      <c r="D302" s="14"/>
      <c r="E302" s="15"/>
      <c r="F302" s="15"/>
      <c r="G302" s="16"/>
      <c r="H302" s="15"/>
      <c r="I302" s="17"/>
      <c r="J302" s="18"/>
      <c r="K302" t="str">
        <f t="shared" si="4"/>
        <v>W43</v>
      </c>
    </row>
    <row r="303" spans="1:11" x14ac:dyDescent="0.35">
      <c r="A303" s="4">
        <v>46321</v>
      </c>
      <c r="B303" s="12"/>
      <c r="C303" s="13"/>
      <c r="D303" s="14"/>
      <c r="E303" s="15"/>
      <c r="F303" s="15"/>
      <c r="G303" s="16"/>
      <c r="H303" s="15"/>
      <c r="I303" s="17"/>
      <c r="J303" s="18"/>
      <c r="K303" t="str">
        <f t="shared" si="4"/>
        <v>W43</v>
      </c>
    </row>
    <row r="304" spans="1:11" x14ac:dyDescent="0.35">
      <c r="A304" s="4">
        <v>46322</v>
      </c>
      <c r="B304" s="12"/>
      <c r="C304" s="13"/>
      <c r="D304" s="14"/>
      <c r="E304" s="15"/>
      <c r="F304" s="15"/>
      <c r="G304" s="16"/>
      <c r="H304" s="15"/>
      <c r="I304" s="17"/>
      <c r="J304" s="18"/>
      <c r="K304" t="str">
        <f t="shared" si="4"/>
        <v>W43</v>
      </c>
    </row>
    <row r="305" spans="1:11" x14ac:dyDescent="0.35">
      <c r="A305" s="4">
        <v>46323</v>
      </c>
      <c r="B305" s="12"/>
      <c r="C305" s="13"/>
      <c r="D305" s="14"/>
      <c r="E305" s="15"/>
      <c r="F305" s="15"/>
      <c r="G305" s="16"/>
      <c r="H305" s="15"/>
      <c r="I305" s="17"/>
      <c r="J305" s="18"/>
      <c r="K305" t="str">
        <f t="shared" si="4"/>
        <v>W43</v>
      </c>
    </row>
    <row r="306" spans="1:11" x14ac:dyDescent="0.35">
      <c r="A306" s="4">
        <v>46324</v>
      </c>
      <c r="B306" s="12"/>
      <c r="C306" s="13"/>
      <c r="D306" s="14"/>
      <c r="E306" s="15"/>
      <c r="F306" s="15"/>
      <c r="G306" s="16"/>
      <c r="H306" s="15"/>
      <c r="I306" s="17"/>
      <c r="J306" s="18"/>
      <c r="K306" t="str">
        <f t="shared" si="4"/>
        <v>W44</v>
      </c>
    </row>
    <row r="307" spans="1:11" x14ac:dyDescent="0.35">
      <c r="A307" s="4">
        <v>46325</v>
      </c>
      <c r="B307" s="12"/>
      <c r="C307" s="13"/>
      <c r="D307" s="14"/>
      <c r="E307" s="15"/>
      <c r="F307" s="15"/>
      <c r="G307" s="16"/>
      <c r="H307" s="15"/>
      <c r="I307" s="17"/>
      <c r="J307" s="18"/>
      <c r="K307" t="str">
        <f t="shared" si="4"/>
        <v>W44</v>
      </c>
    </row>
    <row r="308" spans="1:11" x14ac:dyDescent="0.35">
      <c r="A308" s="4">
        <v>46326</v>
      </c>
      <c r="B308" s="12"/>
      <c r="C308" s="13"/>
      <c r="D308" s="14"/>
      <c r="E308" s="15"/>
      <c r="F308" s="15"/>
      <c r="G308" s="16"/>
      <c r="H308" s="15"/>
      <c r="I308" s="17"/>
      <c r="J308" s="18"/>
      <c r="K308" t="str">
        <f t="shared" si="4"/>
        <v>W44</v>
      </c>
    </row>
    <row r="309" spans="1:11" x14ac:dyDescent="0.35">
      <c r="A309" s="4">
        <v>46327</v>
      </c>
      <c r="B309" s="12"/>
      <c r="C309" s="13"/>
      <c r="D309" s="14"/>
      <c r="E309" s="15"/>
      <c r="F309" s="15"/>
      <c r="G309" s="16"/>
      <c r="H309" s="15"/>
      <c r="I309" s="17"/>
      <c r="J309" s="18"/>
      <c r="K309" t="str">
        <f t="shared" si="4"/>
        <v>W44</v>
      </c>
    </row>
    <row r="310" spans="1:11" x14ac:dyDescent="0.35">
      <c r="A310" s="4">
        <v>46328</v>
      </c>
      <c r="B310" s="12"/>
      <c r="C310" s="13"/>
      <c r="D310" s="14"/>
      <c r="E310" s="15"/>
      <c r="F310" s="15"/>
      <c r="G310" s="16"/>
      <c r="H310" s="15"/>
      <c r="I310" s="17"/>
      <c r="J310" s="18"/>
      <c r="K310" t="str">
        <f t="shared" si="4"/>
        <v>W44</v>
      </c>
    </row>
    <row r="311" spans="1:11" x14ac:dyDescent="0.35">
      <c r="A311" s="4">
        <v>46329</v>
      </c>
      <c r="B311" s="12"/>
      <c r="C311" s="13"/>
      <c r="D311" s="14"/>
      <c r="E311" s="15"/>
      <c r="F311" s="15"/>
      <c r="G311" s="16"/>
      <c r="H311" s="15"/>
      <c r="I311" s="17"/>
      <c r="J311" s="18"/>
      <c r="K311" t="str">
        <f t="shared" si="4"/>
        <v>W44</v>
      </c>
    </row>
    <row r="312" spans="1:11" x14ac:dyDescent="0.35">
      <c r="A312" s="4">
        <v>46330</v>
      </c>
      <c r="B312" s="12"/>
      <c r="C312" s="13"/>
      <c r="D312" s="14"/>
      <c r="E312" s="15"/>
      <c r="F312" s="15"/>
      <c r="G312" s="16"/>
      <c r="H312" s="15"/>
      <c r="I312" s="17"/>
      <c r="J312" s="18"/>
      <c r="K312" t="str">
        <f t="shared" si="4"/>
        <v>W44</v>
      </c>
    </row>
    <row r="313" spans="1:11" x14ac:dyDescent="0.35">
      <c r="A313" s="4">
        <v>46331</v>
      </c>
      <c r="B313" s="12"/>
      <c r="C313" s="13"/>
      <c r="D313" s="14"/>
      <c r="E313" s="15"/>
      <c r="F313" s="15"/>
      <c r="G313" s="16"/>
      <c r="H313" s="15"/>
      <c r="I313" s="17"/>
      <c r="J313" s="18"/>
      <c r="K313" t="str">
        <f t="shared" si="4"/>
        <v>W45</v>
      </c>
    </row>
    <row r="314" spans="1:11" x14ac:dyDescent="0.35">
      <c r="A314" s="4">
        <v>46332</v>
      </c>
      <c r="B314" s="12"/>
      <c r="C314" s="13"/>
      <c r="D314" s="14"/>
      <c r="E314" s="15"/>
      <c r="F314" s="15"/>
      <c r="G314" s="16"/>
      <c r="H314" s="15"/>
      <c r="I314" s="17"/>
      <c r="J314" s="18"/>
      <c r="K314" t="str">
        <f t="shared" si="4"/>
        <v>W45</v>
      </c>
    </row>
    <row r="315" spans="1:11" x14ac:dyDescent="0.35">
      <c r="A315" s="4">
        <v>46333</v>
      </c>
      <c r="B315" s="12"/>
      <c r="C315" s="13"/>
      <c r="D315" s="14"/>
      <c r="E315" s="15"/>
      <c r="F315" s="15"/>
      <c r="G315" s="16"/>
      <c r="H315" s="15"/>
      <c r="I315" s="17"/>
      <c r="J315" s="18"/>
      <c r="K315" t="str">
        <f t="shared" si="4"/>
        <v>W45</v>
      </c>
    </row>
    <row r="316" spans="1:11" x14ac:dyDescent="0.35">
      <c r="A316" s="4">
        <v>46334</v>
      </c>
      <c r="B316" s="12"/>
      <c r="C316" s="13"/>
      <c r="D316" s="14"/>
      <c r="E316" s="15"/>
      <c r="F316" s="15"/>
      <c r="G316" s="16"/>
      <c r="H316" s="15"/>
      <c r="I316" s="17"/>
      <c r="J316" s="18"/>
      <c r="K316" t="str">
        <f t="shared" si="4"/>
        <v>W45</v>
      </c>
    </row>
    <row r="317" spans="1:11" x14ac:dyDescent="0.35">
      <c r="A317" s="4">
        <v>46335</v>
      </c>
      <c r="B317" s="12"/>
      <c r="C317" s="13"/>
      <c r="D317" s="14"/>
      <c r="E317" s="15"/>
      <c r="F317" s="15"/>
      <c r="G317" s="16"/>
      <c r="H317" s="15"/>
      <c r="I317" s="17"/>
      <c r="J317" s="18"/>
      <c r="K317" t="str">
        <f t="shared" si="4"/>
        <v>W45</v>
      </c>
    </row>
    <row r="318" spans="1:11" x14ac:dyDescent="0.35">
      <c r="A318" s="4">
        <v>46336</v>
      </c>
      <c r="B318" s="12"/>
      <c r="C318" s="13"/>
      <c r="D318" s="14"/>
      <c r="E318" s="15"/>
      <c r="F318" s="15"/>
      <c r="G318" s="16"/>
      <c r="H318" s="15"/>
      <c r="I318" s="17"/>
      <c r="J318" s="18"/>
      <c r="K318" t="str">
        <f t="shared" si="4"/>
        <v>W45</v>
      </c>
    </row>
    <row r="319" spans="1:11" x14ac:dyDescent="0.35">
      <c r="A319" s="4">
        <v>46337</v>
      </c>
      <c r="B319" s="12"/>
      <c r="C319" s="13"/>
      <c r="D319" s="14"/>
      <c r="E319" s="15"/>
      <c r="F319" s="15"/>
      <c r="G319" s="16"/>
      <c r="H319" s="15"/>
      <c r="I319" s="17"/>
      <c r="J319" s="18"/>
      <c r="K319" t="str">
        <f t="shared" si="4"/>
        <v>W45</v>
      </c>
    </row>
    <row r="320" spans="1:11" x14ac:dyDescent="0.35">
      <c r="A320" s="4">
        <v>46338</v>
      </c>
      <c r="B320" s="12"/>
      <c r="C320" s="13"/>
      <c r="D320" s="14"/>
      <c r="E320" s="15"/>
      <c r="F320" s="15"/>
      <c r="G320" s="16"/>
      <c r="H320" s="15"/>
      <c r="I320" s="17"/>
      <c r="J320" s="18"/>
      <c r="K320" t="str">
        <f t="shared" si="4"/>
        <v>W46</v>
      </c>
    </row>
    <row r="321" spans="1:11" x14ac:dyDescent="0.35">
      <c r="A321" s="4">
        <v>46339</v>
      </c>
      <c r="B321" s="12"/>
      <c r="C321" s="13"/>
      <c r="D321" s="14"/>
      <c r="E321" s="15"/>
      <c r="F321" s="15"/>
      <c r="G321" s="16"/>
      <c r="H321" s="15"/>
      <c r="I321" s="17"/>
      <c r="J321" s="18"/>
      <c r="K321" t="str">
        <f t="shared" si="4"/>
        <v>W46</v>
      </c>
    </row>
    <row r="322" spans="1:11" x14ac:dyDescent="0.35">
      <c r="A322" s="4">
        <v>46340</v>
      </c>
      <c r="B322" s="12"/>
      <c r="C322" s="13"/>
      <c r="D322" s="14"/>
      <c r="E322" s="15"/>
      <c r="F322" s="15"/>
      <c r="G322" s="16"/>
      <c r="H322" s="15"/>
      <c r="I322" s="17"/>
      <c r="J322" s="18"/>
      <c r="K322" t="str">
        <f t="shared" si="4"/>
        <v>W46</v>
      </c>
    </row>
    <row r="323" spans="1:11" x14ac:dyDescent="0.35">
      <c r="A323" s="4">
        <v>46341</v>
      </c>
      <c r="B323" s="12"/>
      <c r="C323" s="13"/>
      <c r="D323" s="14"/>
      <c r="E323" s="15"/>
      <c r="F323" s="15"/>
      <c r="G323" s="16"/>
      <c r="H323" s="15"/>
      <c r="I323" s="17"/>
      <c r="J323" s="18"/>
      <c r="K323" t="str">
        <f t="shared" si="4"/>
        <v>W46</v>
      </c>
    </row>
    <row r="324" spans="1:11" x14ac:dyDescent="0.35">
      <c r="A324" s="4">
        <v>46342</v>
      </c>
      <c r="B324" s="12"/>
      <c r="C324" s="13"/>
      <c r="D324" s="14"/>
      <c r="E324" s="15"/>
      <c r="F324" s="15"/>
      <c r="G324" s="16"/>
      <c r="H324" s="15"/>
      <c r="I324" s="17"/>
      <c r="J324" s="18"/>
      <c r="K324" t="str">
        <f t="shared" si="4"/>
        <v>W46</v>
      </c>
    </row>
    <row r="325" spans="1:11" x14ac:dyDescent="0.35">
      <c r="A325" s="4">
        <v>46343</v>
      </c>
      <c r="B325" s="12"/>
      <c r="C325" s="13"/>
      <c r="D325" s="14"/>
      <c r="E325" s="15"/>
      <c r="F325" s="15"/>
      <c r="G325" s="16"/>
      <c r="H325" s="15"/>
      <c r="I325" s="17"/>
      <c r="J325" s="18"/>
      <c r="K325" t="str">
        <f t="shared" ref="K325:K369" si="5">"W"&amp;TEXT(INT((A325-DATE(2026,1,1))/7)+1,"00")</f>
        <v>W46</v>
      </c>
    </row>
    <row r="326" spans="1:11" x14ac:dyDescent="0.35">
      <c r="A326" s="4">
        <v>46344</v>
      </c>
      <c r="B326" s="12"/>
      <c r="C326" s="13"/>
      <c r="D326" s="14"/>
      <c r="E326" s="15"/>
      <c r="F326" s="15"/>
      <c r="G326" s="16"/>
      <c r="H326" s="15"/>
      <c r="I326" s="17"/>
      <c r="J326" s="18"/>
      <c r="K326" t="str">
        <f t="shared" si="5"/>
        <v>W46</v>
      </c>
    </row>
    <row r="327" spans="1:11" x14ac:dyDescent="0.35">
      <c r="A327" s="4">
        <v>46345</v>
      </c>
      <c r="B327" s="12"/>
      <c r="C327" s="13"/>
      <c r="D327" s="14"/>
      <c r="E327" s="15"/>
      <c r="F327" s="15"/>
      <c r="G327" s="16"/>
      <c r="H327" s="15"/>
      <c r="I327" s="17"/>
      <c r="J327" s="18"/>
      <c r="K327" t="str">
        <f t="shared" si="5"/>
        <v>W47</v>
      </c>
    </row>
    <row r="328" spans="1:11" x14ac:dyDescent="0.35">
      <c r="A328" s="4">
        <v>46346</v>
      </c>
      <c r="B328" s="12"/>
      <c r="C328" s="13"/>
      <c r="D328" s="14"/>
      <c r="E328" s="15"/>
      <c r="F328" s="15"/>
      <c r="G328" s="16"/>
      <c r="H328" s="15"/>
      <c r="I328" s="17"/>
      <c r="J328" s="18"/>
      <c r="K328" t="str">
        <f t="shared" si="5"/>
        <v>W47</v>
      </c>
    </row>
    <row r="329" spans="1:11" x14ac:dyDescent="0.35">
      <c r="A329" s="4">
        <v>46347</v>
      </c>
      <c r="B329" s="12"/>
      <c r="C329" s="13"/>
      <c r="D329" s="14"/>
      <c r="E329" s="15"/>
      <c r="F329" s="15"/>
      <c r="G329" s="16"/>
      <c r="H329" s="15"/>
      <c r="I329" s="17"/>
      <c r="J329" s="18"/>
      <c r="K329" t="str">
        <f t="shared" si="5"/>
        <v>W47</v>
      </c>
    </row>
    <row r="330" spans="1:11" x14ac:dyDescent="0.35">
      <c r="A330" s="4">
        <v>46348</v>
      </c>
      <c r="B330" s="12"/>
      <c r="C330" s="13"/>
      <c r="D330" s="14"/>
      <c r="E330" s="15"/>
      <c r="F330" s="15"/>
      <c r="G330" s="16"/>
      <c r="H330" s="15"/>
      <c r="I330" s="17"/>
      <c r="J330" s="18"/>
      <c r="K330" t="str">
        <f t="shared" si="5"/>
        <v>W47</v>
      </c>
    </row>
    <row r="331" spans="1:11" x14ac:dyDescent="0.35">
      <c r="A331" s="4">
        <v>46349</v>
      </c>
      <c r="B331" s="12"/>
      <c r="C331" s="13"/>
      <c r="D331" s="14"/>
      <c r="E331" s="15"/>
      <c r="F331" s="15"/>
      <c r="G331" s="16"/>
      <c r="H331" s="15"/>
      <c r="I331" s="17"/>
      <c r="J331" s="18"/>
      <c r="K331" t="str">
        <f t="shared" si="5"/>
        <v>W47</v>
      </c>
    </row>
    <row r="332" spans="1:11" x14ac:dyDescent="0.35">
      <c r="A332" s="4">
        <v>46350</v>
      </c>
      <c r="B332" s="12"/>
      <c r="C332" s="13"/>
      <c r="D332" s="14"/>
      <c r="E332" s="15"/>
      <c r="F332" s="15"/>
      <c r="G332" s="16"/>
      <c r="H332" s="15"/>
      <c r="I332" s="17"/>
      <c r="J332" s="18"/>
      <c r="K332" t="str">
        <f t="shared" si="5"/>
        <v>W47</v>
      </c>
    </row>
    <row r="333" spans="1:11" x14ac:dyDescent="0.35">
      <c r="A333" s="4">
        <v>46351</v>
      </c>
      <c r="B333" s="12"/>
      <c r="C333" s="13"/>
      <c r="D333" s="14"/>
      <c r="E333" s="15"/>
      <c r="F333" s="15"/>
      <c r="G333" s="16"/>
      <c r="H333" s="15"/>
      <c r="I333" s="17"/>
      <c r="J333" s="18"/>
      <c r="K333" t="str">
        <f t="shared" si="5"/>
        <v>W47</v>
      </c>
    </row>
    <row r="334" spans="1:11" x14ac:dyDescent="0.35">
      <c r="A334" s="4">
        <v>46352</v>
      </c>
      <c r="B334" s="12"/>
      <c r="C334" s="13"/>
      <c r="D334" s="14"/>
      <c r="E334" s="15"/>
      <c r="F334" s="15"/>
      <c r="G334" s="16"/>
      <c r="H334" s="15"/>
      <c r="I334" s="17"/>
      <c r="J334" s="18"/>
      <c r="K334" t="str">
        <f t="shared" si="5"/>
        <v>W48</v>
      </c>
    </row>
    <row r="335" spans="1:11" x14ac:dyDescent="0.35">
      <c r="A335" s="4">
        <v>46353</v>
      </c>
      <c r="B335" s="12"/>
      <c r="C335" s="13"/>
      <c r="D335" s="14"/>
      <c r="E335" s="15"/>
      <c r="F335" s="15"/>
      <c r="G335" s="16"/>
      <c r="H335" s="15"/>
      <c r="I335" s="17"/>
      <c r="J335" s="18"/>
      <c r="K335" t="str">
        <f t="shared" si="5"/>
        <v>W48</v>
      </c>
    </row>
    <row r="336" spans="1:11" x14ac:dyDescent="0.35">
      <c r="A336" s="4">
        <v>46354</v>
      </c>
      <c r="B336" s="12"/>
      <c r="C336" s="13"/>
      <c r="D336" s="14"/>
      <c r="E336" s="15"/>
      <c r="F336" s="15"/>
      <c r="G336" s="16"/>
      <c r="H336" s="15"/>
      <c r="I336" s="17"/>
      <c r="J336" s="18"/>
      <c r="K336" t="str">
        <f t="shared" si="5"/>
        <v>W48</v>
      </c>
    </row>
    <row r="337" spans="1:11" x14ac:dyDescent="0.35">
      <c r="A337" s="4">
        <v>46355</v>
      </c>
      <c r="B337" s="12"/>
      <c r="C337" s="13"/>
      <c r="D337" s="14"/>
      <c r="E337" s="15"/>
      <c r="F337" s="15"/>
      <c r="G337" s="16"/>
      <c r="H337" s="15"/>
      <c r="I337" s="17"/>
      <c r="J337" s="18"/>
      <c r="K337" t="str">
        <f t="shared" si="5"/>
        <v>W48</v>
      </c>
    </row>
    <row r="338" spans="1:11" x14ac:dyDescent="0.35">
      <c r="A338" s="4">
        <v>46356</v>
      </c>
      <c r="B338" s="12"/>
      <c r="C338" s="13"/>
      <c r="D338" s="14"/>
      <c r="E338" s="15"/>
      <c r="F338" s="15"/>
      <c r="G338" s="16"/>
      <c r="H338" s="15"/>
      <c r="I338" s="17"/>
      <c r="J338" s="18"/>
      <c r="K338" t="str">
        <f t="shared" si="5"/>
        <v>W48</v>
      </c>
    </row>
    <row r="339" spans="1:11" x14ac:dyDescent="0.35">
      <c r="A339" s="4">
        <v>46357</v>
      </c>
      <c r="B339" s="12"/>
      <c r="C339" s="13"/>
      <c r="D339" s="14"/>
      <c r="E339" s="15"/>
      <c r="F339" s="15"/>
      <c r="G339" s="16"/>
      <c r="H339" s="15"/>
      <c r="I339" s="17"/>
      <c r="J339" s="18"/>
      <c r="K339" t="str">
        <f t="shared" si="5"/>
        <v>W48</v>
      </c>
    </row>
    <row r="340" spans="1:11" x14ac:dyDescent="0.35">
      <c r="A340" s="4">
        <v>46358</v>
      </c>
      <c r="B340" s="12"/>
      <c r="C340" s="13"/>
      <c r="D340" s="14"/>
      <c r="E340" s="15"/>
      <c r="F340" s="15"/>
      <c r="G340" s="16"/>
      <c r="H340" s="15"/>
      <c r="I340" s="17"/>
      <c r="J340" s="18"/>
      <c r="K340" t="str">
        <f t="shared" si="5"/>
        <v>W48</v>
      </c>
    </row>
    <row r="341" spans="1:11" x14ac:dyDescent="0.35">
      <c r="A341" s="4">
        <v>46359</v>
      </c>
      <c r="B341" s="12"/>
      <c r="C341" s="13"/>
      <c r="D341" s="14"/>
      <c r="E341" s="15"/>
      <c r="F341" s="15"/>
      <c r="G341" s="16"/>
      <c r="H341" s="15"/>
      <c r="I341" s="17"/>
      <c r="J341" s="18"/>
      <c r="K341" t="str">
        <f t="shared" si="5"/>
        <v>W49</v>
      </c>
    </row>
    <row r="342" spans="1:11" x14ac:dyDescent="0.35">
      <c r="A342" s="4">
        <v>46360</v>
      </c>
      <c r="B342" s="12"/>
      <c r="C342" s="13"/>
      <c r="D342" s="14"/>
      <c r="E342" s="15"/>
      <c r="F342" s="15"/>
      <c r="G342" s="16"/>
      <c r="H342" s="15"/>
      <c r="I342" s="17"/>
      <c r="J342" s="18"/>
      <c r="K342" t="str">
        <f t="shared" si="5"/>
        <v>W49</v>
      </c>
    </row>
    <row r="343" spans="1:11" x14ac:dyDescent="0.35">
      <c r="A343" s="4">
        <v>46361</v>
      </c>
      <c r="B343" s="12"/>
      <c r="C343" s="13"/>
      <c r="D343" s="14"/>
      <c r="E343" s="15"/>
      <c r="F343" s="15"/>
      <c r="G343" s="16"/>
      <c r="H343" s="15"/>
      <c r="I343" s="17"/>
      <c r="J343" s="18"/>
      <c r="K343" t="str">
        <f t="shared" si="5"/>
        <v>W49</v>
      </c>
    </row>
    <row r="344" spans="1:11" x14ac:dyDescent="0.35">
      <c r="A344" s="4">
        <v>46362</v>
      </c>
      <c r="B344" s="12"/>
      <c r="C344" s="13"/>
      <c r="D344" s="14"/>
      <c r="E344" s="15"/>
      <c r="F344" s="15"/>
      <c r="G344" s="16"/>
      <c r="H344" s="15"/>
      <c r="I344" s="17"/>
      <c r="J344" s="18"/>
      <c r="K344" t="str">
        <f t="shared" si="5"/>
        <v>W49</v>
      </c>
    </row>
    <row r="345" spans="1:11" x14ac:dyDescent="0.35">
      <c r="A345" s="4">
        <v>46363</v>
      </c>
      <c r="B345" s="12"/>
      <c r="C345" s="13"/>
      <c r="D345" s="14"/>
      <c r="E345" s="15"/>
      <c r="F345" s="15"/>
      <c r="G345" s="16"/>
      <c r="H345" s="15"/>
      <c r="I345" s="17"/>
      <c r="J345" s="18"/>
      <c r="K345" t="str">
        <f t="shared" si="5"/>
        <v>W49</v>
      </c>
    </row>
    <row r="346" spans="1:11" x14ac:dyDescent="0.35">
      <c r="A346" s="4">
        <v>46364</v>
      </c>
      <c r="B346" s="12"/>
      <c r="C346" s="13"/>
      <c r="D346" s="14"/>
      <c r="E346" s="15"/>
      <c r="F346" s="15"/>
      <c r="G346" s="16"/>
      <c r="H346" s="15"/>
      <c r="I346" s="17"/>
      <c r="J346" s="18"/>
      <c r="K346" t="str">
        <f t="shared" si="5"/>
        <v>W49</v>
      </c>
    </row>
    <row r="347" spans="1:11" x14ac:dyDescent="0.35">
      <c r="A347" s="4">
        <v>46365</v>
      </c>
      <c r="B347" s="12"/>
      <c r="C347" s="13"/>
      <c r="D347" s="14"/>
      <c r="E347" s="15"/>
      <c r="F347" s="15"/>
      <c r="G347" s="16"/>
      <c r="H347" s="15"/>
      <c r="I347" s="17"/>
      <c r="J347" s="18"/>
      <c r="K347" t="str">
        <f t="shared" si="5"/>
        <v>W49</v>
      </c>
    </row>
    <row r="348" spans="1:11" x14ac:dyDescent="0.35">
      <c r="A348" s="4">
        <v>46366</v>
      </c>
      <c r="B348" s="12"/>
      <c r="C348" s="13"/>
      <c r="D348" s="14"/>
      <c r="E348" s="15"/>
      <c r="F348" s="15"/>
      <c r="G348" s="16"/>
      <c r="H348" s="15"/>
      <c r="I348" s="17"/>
      <c r="J348" s="18"/>
      <c r="K348" t="str">
        <f t="shared" si="5"/>
        <v>W50</v>
      </c>
    </row>
    <row r="349" spans="1:11" x14ac:dyDescent="0.35">
      <c r="A349" s="4">
        <v>46367</v>
      </c>
      <c r="B349" s="12"/>
      <c r="C349" s="13"/>
      <c r="D349" s="14"/>
      <c r="E349" s="15"/>
      <c r="F349" s="15"/>
      <c r="G349" s="16"/>
      <c r="H349" s="15"/>
      <c r="I349" s="17"/>
      <c r="J349" s="18"/>
      <c r="K349" t="str">
        <f t="shared" si="5"/>
        <v>W50</v>
      </c>
    </row>
    <row r="350" spans="1:11" x14ac:dyDescent="0.35">
      <c r="A350" s="4">
        <v>46368</v>
      </c>
      <c r="B350" s="12"/>
      <c r="C350" s="13"/>
      <c r="D350" s="14"/>
      <c r="E350" s="15"/>
      <c r="F350" s="15"/>
      <c r="G350" s="16"/>
      <c r="H350" s="15"/>
      <c r="I350" s="17"/>
      <c r="J350" s="18"/>
      <c r="K350" t="str">
        <f t="shared" si="5"/>
        <v>W50</v>
      </c>
    </row>
    <row r="351" spans="1:11" x14ac:dyDescent="0.35">
      <c r="A351" s="4">
        <v>46369</v>
      </c>
      <c r="B351" s="12"/>
      <c r="C351" s="13"/>
      <c r="D351" s="14"/>
      <c r="E351" s="15"/>
      <c r="F351" s="15"/>
      <c r="G351" s="16"/>
      <c r="H351" s="15"/>
      <c r="I351" s="17"/>
      <c r="J351" s="18"/>
      <c r="K351" t="str">
        <f t="shared" si="5"/>
        <v>W50</v>
      </c>
    </row>
    <row r="352" spans="1:11" x14ac:dyDescent="0.35">
      <c r="A352" s="4">
        <v>46370</v>
      </c>
      <c r="B352" s="12"/>
      <c r="C352" s="13"/>
      <c r="D352" s="14"/>
      <c r="E352" s="15"/>
      <c r="F352" s="15"/>
      <c r="G352" s="16"/>
      <c r="H352" s="15"/>
      <c r="I352" s="17"/>
      <c r="J352" s="18"/>
      <c r="K352" t="str">
        <f t="shared" si="5"/>
        <v>W50</v>
      </c>
    </row>
    <row r="353" spans="1:11" x14ac:dyDescent="0.35">
      <c r="A353" s="4">
        <v>46371</v>
      </c>
      <c r="B353" s="12"/>
      <c r="C353" s="13"/>
      <c r="D353" s="14"/>
      <c r="E353" s="15"/>
      <c r="F353" s="15"/>
      <c r="G353" s="16"/>
      <c r="H353" s="15"/>
      <c r="I353" s="17"/>
      <c r="J353" s="18"/>
      <c r="K353" t="str">
        <f t="shared" si="5"/>
        <v>W50</v>
      </c>
    </row>
    <row r="354" spans="1:11" x14ac:dyDescent="0.35">
      <c r="A354" s="4">
        <v>46372</v>
      </c>
      <c r="B354" s="12"/>
      <c r="C354" s="13"/>
      <c r="D354" s="14"/>
      <c r="E354" s="15"/>
      <c r="F354" s="15"/>
      <c r="G354" s="16"/>
      <c r="H354" s="15"/>
      <c r="I354" s="17"/>
      <c r="J354" s="18"/>
      <c r="K354" t="str">
        <f t="shared" si="5"/>
        <v>W50</v>
      </c>
    </row>
    <row r="355" spans="1:11" x14ac:dyDescent="0.35">
      <c r="A355" s="4">
        <v>46373</v>
      </c>
      <c r="B355" s="12"/>
      <c r="C355" s="13"/>
      <c r="D355" s="14"/>
      <c r="E355" s="15"/>
      <c r="F355" s="15"/>
      <c r="G355" s="16"/>
      <c r="H355" s="15"/>
      <c r="I355" s="17"/>
      <c r="J355" s="18"/>
      <c r="K355" t="str">
        <f t="shared" si="5"/>
        <v>W51</v>
      </c>
    </row>
    <row r="356" spans="1:11" x14ac:dyDescent="0.35">
      <c r="A356" s="4">
        <v>46374</v>
      </c>
      <c r="B356" s="12"/>
      <c r="C356" s="13"/>
      <c r="D356" s="14"/>
      <c r="E356" s="15"/>
      <c r="F356" s="15"/>
      <c r="G356" s="16"/>
      <c r="H356" s="15"/>
      <c r="I356" s="17"/>
      <c r="J356" s="18"/>
      <c r="K356" t="str">
        <f t="shared" si="5"/>
        <v>W51</v>
      </c>
    </row>
    <row r="357" spans="1:11" x14ac:dyDescent="0.35">
      <c r="A357" s="4">
        <v>46375</v>
      </c>
      <c r="B357" s="12"/>
      <c r="C357" s="13"/>
      <c r="D357" s="14"/>
      <c r="E357" s="15"/>
      <c r="F357" s="15"/>
      <c r="G357" s="16"/>
      <c r="H357" s="15"/>
      <c r="I357" s="17"/>
      <c r="J357" s="18"/>
      <c r="K357" t="str">
        <f t="shared" si="5"/>
        <v>W51</v>
      </c>
    </row>
    <row r="358" spans="1:11" x14ac:dyDescent="0.35">
      <c r="A358" s="4">
        <v>46376</v>
      </c>
      <c r="B358" s="12"/>
      <c r="C358" s="13"/>
      <c r="D358" s="14"/>
      <c r="E358" s="15"/>
      <c r="F358" s="15"/>
      <c r="G358" s="16"/>
      <c r="H358" s="15"/>
      <c r="I358" s="17"/>
      <c r="J358" s="18"/>
      <c r="K358" t="str">
        <f t="shared" si="5"/>
        <v>W51</v>
      </c>
    </row>
    <row r="359" spans="1:11" x14ac:dyDescent="0.35">
      <c r="A359" s="4">
        <v>46377</v>
      </c>
      <c r="B359" s="12"/>
      <c r="C359" s="13"/>
      <c r="D359" s="14"/>
      <c r="E359" s="15"/>
      <c r="F359" s="15"/>
      <c r="G359" s="16"/>
      <c r="H359" s="15"/>
      <c r="I359" s="17"/>
      <c r="J359" s="18"/>
      <c r="K359" t="str">
        <f t="shared" si="5"/>
        <v>W51</v>
      </c>
    </row>
    <row r="360" spans="1:11" x14ac:dyDescent="0.35">
      <c r="A360" s="4">
        <v>46378</v>
      </c>
      <c r="B360" s="12"/>
      <c r="C360" s="13"/>
      <c r="D360" s="14"/>
      <c r="E360" s="15"/>
      <c r="F360" s="15"/>
      <c r="G360" s="16"/>
      <c r="H360" s="15"/>
      <c r="I360" s="17"/>
      <c r="J360" s="18"/>
      <c r="K360" t="str">
        <f t="shared" si="5"/>
        <v>W51</v>
      </c>
    </row>
    <row r="361" spans="1:11" x14ac:dyDescent="0.35">
      <c r="A361" s="4">
        <v>46379</v>
      </c>
      <c r="B361" s="12"/>
      <c r="C361" s="13"/>
      <c r="D361" s="14"/>
      <c r="E361" s="15"/>
      <c r="F361" s="15"/>
      <c r="G361" s="16"/>
      <c r="H361" s="15"/>
      <c r="I361" s="17"/>
      <c r="J361" s="18"/>
      <c r="K361" t="str">
        <f t="shared" si="5"/>
        <v>W51</v>
      </c>
    </row>
    <row r="362" spans="1:11" x14ac:dyDescent="0.35">
      <c r="A362" s="4">
        <v>46380</v>
      </c>
      <c r="B362" s="12"/>
      <c r="C362" s="13"/>
      <c r="D362" s="14"/>
      <c r="E362" s="15"/>
      <c r="F362" s="15"/>
      <c r="G362" s="16"/>
      <c r="H362" s="15"/>
      <c r="I362" s="17"/>
      <c r="J362" s="18"/>
      <c r="K362" t="str">
        <f t="shared" si="5"/>
        <v>W52</v>
      </c>
    </row>
    <row r="363" spans="1:11" x14ac:dyDescent="0.35">
      <c r="A363" s="4">
        <v>46381</v>
      </c>
      <c r="B363" s="12"/>
      <c r="C363" s="13"/>
      <c r="D363" s="14"/>
      <c r="E363" s="15"/>
      <c r="F363" s="15"/>
      <c r="G363" s="16"/>
      <c r="H363" s="15"/>
      <c r="I363" s="17"/>
      <c r="J363" s="18"/>
      <c r="K363" t="str">
        <f t="shared" si="5"/>
        <v>W52</v>
      </c>
    </row>
    <row r="364" spans="1:11" x14ac:dyDescent="0.35">
      <c r="A364" s="4">
        <v>46382</v>
      </c>
      <c r="B364" s="12"/>
      <c r="C364" s="13"/>
      <c r="D364" s="14"/>
      <c r="E364" s="15"/>
      <c r="F364" s="15"/>
      <c r="G364" s="16"/>
      <c r="H364" s="15"/>
      <c r="I364" s="17"/>
      <c r="J364" s="18"/>
      <c r="K364" t="str">
        <f t="shared" si="5"/>
        <v>W52</v>
      </c>
    </row>
    <row r="365" spans="1:11" x14ac:dyDescent="0.35">
      <c r="A365" s="4">
        <v>46383</v>
      </c>
      <c r="B365" s="12"/>
      <c r="C365" s="13"/>
      <c r="D365" s="14"/>
      <c r="E365" s="15"/>
      <c r="F365" s="15"/>
      <c r="G365" s="16"/>
      <c r="H365" s="15"/>
      <c r="I365" s="17"/>
      <c r="J365" s="18"/>
      <c r="K365" t="str">
        <f t="shared" si="5"/>
        <v>W52</v>
      </c>
    </row>
    <row r="366" spans="1:11" x14ac:dyDescent="0.35">
      <c r="A366" s="4">
        <v>46384</v>
      </c>
      <c r="B366" s="12"/>
      <c r="C366" s="13"/>
      <c r="D366" s="14"/>
      <c r="E366" s="15"/>
      <c r="F366" s="15"/>
      <c r="G366" s="16"/>
      <c r="H366" s="15"/>
      <c r="I366" s="17"/>
      <c r="J366" s="18"/>
      <c r="K366" t="str">
        <f t="shared" si="5"/>
        <v>W52</v>
      </c>
    </row>
    <row r="367" spans="1:11" x14ac:dyDescent="0.35">
      <c r="A367" s="4">
        <v>46385</v>
      </c>
      <c r="B367" s="12"/>
      <c r="C367" s="13"/>
      <c r="D367" s="14"/>
      <c r="E367" s="15"/>
      <c r="F367" s="15"/>
      <c r="G367" s="16"/>
      <c r="H367" s="15"/>
      <c r="I367" s="17"/>
      <c r="J367" s="18"/>
      <c r="K367" t="str">
        <f t="shared" si="5"/>
        <v>W52</v>
      </c>
    </row>
    <row r="368" spans="1:11" x14ac:dyDescent="0.35">
      <c r="A368" s="4">
        <v>46386</v>
      </c>
      <c r="B368" s="12"/>
      <c r="C368" s="13"/>
      <c r="D368" s="14"/>
      <c r="E368" s="15"/>
      <c r="F368" s="15"/>
      <c r="G368" s="16"/>
      <c r="H368" s="15"/>
      <c r="I368" s="17"/>
      <c r="J368" s="18"/>
      <c r="K368" t="str">
        <f t="shared" si="5"/>
        <v>W52</v>
      </c>
    </row>
    <row r="369" spans="1:11" x14ac:dyDescent="0.35">
      <c r="A369" s="4">
        <v>46387</v>
      </c>
      <c r="B369" s="21"/>
      <c r="C369" s="22"/>
      <c r="D369" s="23"/>
      <c r="E369" s="24"/>
      <c r="F369" s="24"/>
      <c r="G369" s="25"/>
      <c r="H369" s="24"/>
      <c r="I369" s="26"/>
      <c r="J369" s="27"/>
      <c r="K369" t="str">
        <f t="shared" si="5"/>
        <v>W53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4C68"/>
  </sheetPr>
  <dimension ref="A1:AL123"/>
  <sheetViews>
    <sheetView showGridLines="0" topLeftCell="L1" workbookViewId="0">
      <pane ySplit="14" topLeftCell="A15" activePane="bottomLeft" state="frozen"/>
      <selection pane="bottomLeft" activeCell="K1" sqref="K1"/>
    </sheetView>
  </sheetViews>
  <sheetFormatPr defaultRowHeight="14.5" x14ac:dyDescent="0.35"/>
  <cols>
    <col min="1" max="1" width="15" customWidth="1"/>
    <col min="2" max="4" width="12" customWidth="1"/>
    <col min="5" max="5" width="17.90625" customWidth="1"/>
    <col min="6" max="7" width="14" customWidth="1"/>
    <col min="8" max="11" width="15" customWidth="1"/>
    <col min="12" max="13" width="12" customWidth="1"/>
    <col min="14" max="14" width="18" customWidth="1"/>
  </cols>
  <sheetData>
    <row r="1" spans="1:35" ht="26" customHeight="1" x14ac:dyDescent="0.35">
      <c r="A1" s="96" t="s">
        <v>26</v>
      </c>
      <c r="B1" s="96"/>
      <c r="C1" s="96"/>
      <c r="D1" s="96"/>
      <c r="E1" s="96"/>
      <c r="F1" s="96"/>
      <c r="G1" s="96"/>
      <c r="H1" s="96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</row>
    <row r="2" spans="1:35" x14ac:dyDescent="0.35">
      <c r="A2" s="97" t="s">
        <v>27</v>
      </c>
      <c r="B2" s="97"/>
      <c r="C2" s="97"/>
      <c r="D2" s="97"/>
      <c r="E2" s="97"/>
      <c r="F2" s="97"/>
      <c r="G2" s="97"/>
      <c r="H2" s="97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</row>
    <row r="3" spans="1:35" x14ac:dyDescent="0.35">
      <c r="A3" s="50"/>
      <c r="B3" s="50"/>
      <c r="C3" s="50"/>
      <c r="D3" s="50"/>
      <c r="E3" s="50"/>
      <c r="F3" s="50"/>
      <c r="G3" s="50"/>
      <c r="H3" s="50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</row>
    <row r="4" spans="1:35" x14ac:dyDescent="0.35">
      <c r="A4" s="91" t="s">
        <v>28</v>
      </c>
      <c r="B4" s="91" t="s">
        <v>2</v>
      </c>
      <c r="C4" s="92"/>
      <c r="D4" s="91" t="s">
        <v>29</v>
      </c>
      <c r="E4" s="91" t="s">
        <v>30</v>
      </c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</row>
    <row r="5" spans="1:35" x14ac:dyDescent="0.35">
      <c r="A5" s="32" t="s">
        <v>4</v>
      </c>
      <c r="B5" s="51">
        <v>0.93</v>
      </c>
      <c r="C5" s="38"/>
      <c r="D5" s="52">
        <v>46235</v>
      </c>
      <c r="E5" s="53">
        <v>32000</v>
      </c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</row>
    <row r="6" spans="1:35" x14ac:dyDescent="0.35">
      <c r="A6" s="33" t="s">
        <v>6</v>
      </c>
      <c r="B6" s="54">
        <v>0.88</v>
      </c>
      <c r="C6" s="38"/>
      <c r="D6" s="55">
        <v>46266</v>
      </c>
      <c r="E6" s="56">
        <v>398000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</row>
    <row r="7" spans="1:35" x14ac:dyDescent="0.35">
      <c r="A7" s="33" t="s">
        <v>31</v>
      </c>
      <c r="B7" s="57">
        <v>2.7</v>
      </c>
      <c r="C7" s="38"/>
      <c r="D7" s="58">
        <v>46296</v>
      </c>
      <c r="E7" s="59">
        <v>671000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</row>
    <row r="8" spans="1:35" x14ac:dyDescent="0.35">
      <c r="A8" s="33" t="s">
        <v>8</v>
      </c>
      <c r="B8" s="57">
        <v>7.5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</row>
    <row r="9" spans="1:35" x14ac:dyDescent="0.35">
      <c r="A9" s="33" t="s">
        <v>7</v>
      </c>
      <c r="B9" s="47">
        <v>205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</row>
    <row r="10" spans="1:35" x14ac:dyDescent="0.35">
      <c r="A10" s="33" t="s">
        <v>9</v>
      </c>
      <c r="B10" s="57">
        <v>1.55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</row>
    <row r="11" spans="1:35" x14ac:dyDescent="0.35">
      <c r="A11" s="34" t="s">
        <v>12</v>
      </c>
      <c r="B11" s="60" t="s">
        <v>32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</row>
    <row r="12" spans="1:35" x14ac:dyDescent="0.3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</row>
    <row r="13" spans="1:35" x14ac:dyDescent="0.35">
      <c r="A13" s="98" t="s">
        <v>33</v>
      </c>
      <c r="B13" s="98"/>
      <c r="C13" s="98"/>
      <c r="D13" s="98"/>
      <c r="E13" s="98"/>
      <c r="F13" s="98"/>
      <c r="G13" s="98"/>
      <c r="H13" s="9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</row>
    <row r="14" spans="1:35" ht="32" customHeight="1" x14ac:dyDescent="0.35">
      <c r="A14" s="88" t="s">
        <v>14</v>
      </c>
      <c r="B14" s="89" t="s">
        <v>34</v>
      </c>
      <c r="C14" s="89" t="s">
        <v>35</v>
      </c>
      <c r="D14" s="89" t="s">
        <v>36</v>
      </c>
      <c r="E14" s="89" t="s">
        <v>37</v>
      </c>
      <c r="F14" s="89" t="s">
        <v>38</v>
      </c>
      <c r="G14" s="89" t="s">
        <v>39</v>
      </c>
      <c r="H14" s="89" t="s">
        <v>40</v>
      </c>
      <c r="I14" s="89" t="s">
        <v>41</v>
      </c>
      <c r="J14" s="89" t="s">
        <v>42</v>
      </c>
      <c r="K14" s="89" t="s">
        <v>43</v>
      </c>
      <c r="L14" s="89" t="s">
        <v>44</v>
      </c>
      <c r="M14" s="89" t="s">
        <v>45</v>
      </c>
      <c r="N14" s="90" t="s">
        <v>46</v>
      </c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</row>
    <row r="15" spans="1:35" x14ac:dyDescent="0.35">
      <c r="A15" s="39" t="str">
        <f>INDEX('Input Data Daily'!$K$5:$K$369,(ROW()-15)*7+1)</f>
        <v>W01</v>
      </c>
      <c r="B15" s="41" t="str">
        <f>IF(COUNTIFS('Input Data Daily'!$K$5:$K$369,$A15,'Input Data Daily'!$B$5:$B$369,"&lt;&gt;")=0,"",AVERAGEIF('Input Data Daily'!$K$5:$K$369,$A15,'Input Data Daily'!$B$5:$B$369))</f>
        <v/>
      </c>
      <c r="C15" s="41">
        <f t="shared" ref="C15:C46" si="0">$B$5</f>
        <v>0.93</v>
      </c>
      <c r="D15" s="41" t="str">
        <f>IF(COUNTIFS('Input Data Daily'!$K$5:$K$369,$A15,'Input Data Daily'!$C$5:$C$369,"&lt;&gt;")=0,"",AVERAGEIF('Input Data Daily'!$K$5:$K$369,$A15,'Input Data Daily'!$C$5:$C$369))</f>
        <v/>
      </c>
      <c r="E15" s="41">
        <f t="shared" ref="E15:E46" si="1">$B$6</f>
        <v>0.88</v>
      </c>
      <c r="F15" s="45" t="str">
        <f>IF(COUNTIFS('Input Data Daily'!$K$5:$K$369,$A15,'Input Data Daily'!$D$5:$D$369,"&lt;&gt;")=0,"",AVERAGEIF('Input Data Daily'!$K$5:$K$369,$A15,'Input Data Daily'!$D$5:$D$369))</f>
        <v/>
      </c>
      <c r="G15" s="45">
        <f t="shared" ref="G15:G46" si="2">$B$9</f>
        <v>205</v>
      </c>
      <c r="H15" s="43" t="str">
        <f>IF(COUNTIFS('Input Data Daily'!$K$5:$K$369,$A15,'Input Data Daily'!$E$5:$E$369,"&lt;&gt;")=0,"",AVERAGEIF('Input Data Daily'!$K$5:$K$369,$A15,'Input Data Daily'!$E$5:$E$369))</f>
        <v/>
      </c>
      <c r="I15" s="43">
        <f t="shared" ref="I15:I46" si="3">$B$8</f>
        <v>7.5</v>
      </c>
      <c r="J15" s="43" t="str">
        <f>IF(COUNTIFS('Input Data Daily'!$K$5:$K$369,$A15,'Input Data Daily'!$F$5:$F$369,"&lt;&gt;")=0,"",AVERAGEIF('Input Data Daily'!$K$5:$K$369,$A15,'Input Data Daily'!$F$5:$F$369))</f>
        <v/>
      </c>
      <c r="K15" s="43">
        <f t="shared" ref="K15:K46" si="4">$B$10</f>
        <v>1.55</v>
      </c>
      <c r="L15" s="43" t="str">
        <f>IF(COUNTIFS('Input Data Daily'!$K$5:$K$369,$A15,'Input Data Daily'!$H$5:$H$369,"&lt;&gt;")=0,"",AVERAGEIF('Input Data Daily'!$K$5:$K$369,$A15,'Input Data Daily'!$H$5:$H$369))</f>
        <v/>
      </c>
      <c r="M15" s="43">
        <f t="shared" ref="M15:M46" si="5">$B$7</f>
        <v>2.7</v>
      </c>
      <c r="N15" s="47">
        <f>SUMIF('Input Data Daily'!$K$5:$K$369,$A15,'Input Data Daily'!$I$5:$I$369)</f>
        <v>0</v>
      </c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</row>
    <row r="16" spans="1:35" x14ac:dyDescent="0.35">
      <c r="A16" s="39" t="str">
        <f>INDEX('Input Data Daily'!$K$5:$K$369,(ROW()-15)*7+1)</f>
        <v>W02</v>
      </c>
      <c r="B16" s="41" t="str">
        <f>IF(COUNTIFS('Input Data Daily'!$K$5:$K$369,$A16,'Input Data Daily'!$B$5:$B$369,"&lt;&gt;")=0,"",AVERAGEIF('Input Data Daily'!$K$5:$K$369,$A16,'Input Data Daily'!$B$5:$B$369))</f>
        <v/>
      </c>
      <c r="C16" s="41">
        <f t="shared" si="0"/>
        <v>0.93</v>
      </c>
      <c r="D16" s="41" t="str">
        <f>IF(COUNTIFS('Input Data Daily'!$K$5:$K$369,$A16,'Input Data Daily'!$C$5:$C$369,"&lt;&gt;")=0,"",AVERAGEIF('Input Data Daily'!$K$5:$K$369,$A16,'Input Data Daily'!$C$5:$C$369))</f>
        <v/>
      </c>
      <c r="E16" s="41">
        <f t="shared" si="1"/>
        <v>0.88</v>
      </c>
      <c r="F16" s="45" t="str">
        <f>IF(COUNTIFS('Input Data Daily'!$K$5:$K$369,$A16,'Input Data Daily'!$D$5:$D$369,"&lt;&gt;")=0,"",AVERAGEIF('Input Data Daily'!$K$5:$K$369,$A16,'Input Data Daily'!$D$5:$D$369))</f>
        <v/>
      </c>
      <c r="G16" s="45">
        <f t="shared" si="2"/>
        <v>205</v>
      </c>
      <c r="H16" s="43" t="str">
        <f>IF(COUNTIFS('Input Data Daily'!$K$5:$K$369,$A16,'Input Data Daily'!$E$5:$E$369,"&lt;&gt;")=0,"",AVERAGEIF('Input Data Daily'!$K$5:$K$369,$A16,'Input Data Daily'!$E$5:$E$369))</f>
        <v/>
      </c>
      <c r="I16" s="43">
        <f t="shared" si="3"/>
        <v>7.5</v>
      </c>
      <c r="J16" s="43" t="str">
        <f>IF(COUNTIFS('Input Data Daily'!$K$5:$K$369,$A16,'Input Data Daily'!$F$5:$F$369,"&lt;&gt;")=0,"",AVERAGEIF('Input Data Daily'!$K$5:$K$369,$A16,'Input Data Daily'!$F$5:$F$369))</f>
        <v/>
      </c>
      <c r="K16" s="43">
        <f t="shared" si="4"/>
        <v>1.55</v>
      </c>
      <c r="L16" s="43" t="str">
        <f>IF(COUNTIFS('Input Data Daily'!$K$5:$K$369,$A16,'Input Data Daily'!$H$5:$H$369,"&lt;&gt;")=0,"",AVERAGEIF('Input Data Daily'!$K$5:$K$369,$A16,'Input Data Daily'!$H$5:$H$369))</f>
        <v/>
      </c>
      <c r="M16" s="43">
        <f t="shared" si="5"/>
        <v>2.7</v>
      </c>
      <c r="N16" s="47">
        <f>SUMIF('Input Data Daily'!$K$5:$K$369,$A16,'Input Data Daily'!$I$5:$I$369)</f>
        <v>0</v>
      </c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</row>
    <row r="17" spans="1:35" x14ac:dyDescent="0.35">
      <c r="A17" s="39" t="str">
        <f>INDEX('Input Data Daily'!$K$5:$K$369,(ROW()-15)*7+1)</f>
        <v>W03</v>
      </c>
      <c r="B17" s="41" t="str">
        <f>IF(COUNTIFS('Input Data Daily'!$K$5:$K$369,$A17,'Input Data Daily'!$B$5:$B$369,"&lt;&gt;")=0,"",AVERAGEIF('Input Data Daily'!$K$5:$K$369,$A17,'Input Data Daily'!$B$5:$B$369))</f>
        <v/>
      </c>
      <c r="C17" s="41">
        <f t="shared" si="0"/>
        <v>0.93</v>
      </c>
      <c r="D17" s="41" t="str">
        <f>IF(COUNTIFS('Input Data Daily'!$K$5:$K$369,$A17,'Input Data Daily'!$C$5:$C$369,"&lt;&gt;")=0,"",AVERAGEIF('Input Data Daily'!$K$5:$K$369,$A17,'Input Data Daily'!$C$5:$C$369))</f>
        <v/>
      </c>
      <c r="E17" s="41">
        <f t="shared" si="1"/>
        <v>0.88</v>
      </c>
      <c r="F17" s="45" t="str">
        <f>IF(COUNTIFS('Input Data Daily'!$K$5:$K$369,$A17,'Input Data Daily'!$D$5:$D$369,"&lt;&gt;")=0,"",AVERAGEIF('Input Data Daily'!$K$5:$K$369,$A17,'Input Data Daily'!$D$5:$D$369))</f>
        <v/>
      </c>
      <c r="G17" s="45">
        <f t="shared" si="2"/>
        <v>205</v>
      </c>
      <c r="H17" s="43" t="str">
        <f>IF(COUNTIFS('Input Data Daily'!$K$5:$K$369,$A17,'Input Data Daily'!$E$5:$E$369,"&lt;&gt;")=0,"",AVERAGEIF('Input Data Daily'!$K$5:$K$369,$A17,'Input Data Daily'!$E$5:$E$369))</f>
        <v/>
      </c>
      <c r="I17" s="43">
        <f t="shared" si="3"/>
        <v>7.5</v>
      </c>
      <c r="J17" s="43" t="str">
        <f>IF(COUNTIFS('Input Data Daily'!$K$5:$K$369,$A17,'Input Data Daily'!$F$5:$F$369,"&lt;&gt;")=0,"",AVERAGEIF('Input Data Daily'!$K$5:$K$369,$A17,'Input Data Daily'!$F$5:$F$369))</f>
        <v/>
      </c>
      <c r="K17" s="43">
        <f t="shared" si="4"/>
        <v>1.55</v>
      </c>
      <c r="L17" s="43" t="str">
        <f>IF(COUNTIFS('Input Data Daily'!$K$5:$K$369,$A17,'Input Data Daily'!$H$5:$H$369,"&lt;&gt;")=0,"",AVERAGEIF('Input Data Daily'!$K$5:$K$369,$A17,'Input Data Daily'!$H$5:$H$369))</f>
        <v/>
      </c>
      <c r="M17" s="43">
        <f t="shared" si="5"/>
        <v>2.7</v>
      </c>
      <c r="N17" s="47">
        <f>SUMIF('Input Data Daily'!$K$5:$K$369,$A17,'Input Data Daily'!$I$5:$I$369)</f>
        <v>0</v>
      </c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</row>
    <row r="18" spans="1:35" x14ac:dyDescent="0.35">
      <c r="A18" s="39" t="str">
        <f>INDEX('Input Data Daily'!$K$5:$K$369,(ROW()-15)*7+1)</f>
        <v>W04</v>
      </c>
      <c r="B18" s="41" t="str">
        <f>IF(COUNTIFS('Input Data Daily'!$K$5:$K$369,$A18,'Input Data Daily'!$B$5:$B$369,"&lt;&gt;")=0,"",AVERAGEIF('Input Data Daily'!$K$5:$K$369,$A18,'Input Data Daily'!$B$5:$B$369))</f>
        <v/>
      </c>
      <c r="C18" s="41">
        <f t="shared" si="0"/>
        <v>0.93</v>
      </c>
      <c r="D18" s="41" t="str">
        <f>IF(COUNTIFS('Input Data Daily'!$K$5:$K$369,$A18,'Input Data Daily'!$C$5:$C$369,"&lt;&gt;")=0,"",AVERAGEIF('Input Data Daily'!$K$5:$K$369,$A18,'Input Data Daily'!$C$5:$C$369))</f>
        <v/>
      </c>
      <c r="E18" s="41">
        <f t="shared" si="1"/>
        <v>0.88</v>
      </c>
      <c r="F18" s="45" t="str">
        <f>IF(COUNTIFS('Input Data Daily'!$K$5:$K$369,$A18,'Input Data Daily'!$D$5:$D$369,"&lt;&gt;")=0,"",AVERAGEIF('Input Data Daily'!$K$5:$K$369,$A18,'Input Data Daily'!$D$5:$D$369))</f>
        <v/>
      </c>
      <c r="G18" s="45">
        <f t="shared" si="2"/>
        <v>205</v>
      </c>
      <c r="H18" s="43" t="str">
        <f>IF(COUNTIFS('Input Data Daily'!$K$5:$K$369,$A18,'Input Data Daily'!$E$5:$E$369,"&lt;&gt;")=0,"",AVERAGEIF('Input Data Daily'!$K$5:$K$369,$A18,'Input Data Daily'!$E$5:$E$369))</f>
        <v/>
      </c>
      <c r="I18" s="43">
        <f t="shared" si="3"/>
        <v>7.5</v>
      </c>
      <c r="J18" s="43" t="str">
        <f>IF(COUNTIFS('Input Data Daily'!$K$5:$K$369,$A18,'Input Data Daily'!$F$5:$F$369,"&lt;&gt;")=0,"",AVERAGEIF('Input Data Daily'!$K$5:$K$369,$A18,'Input Data Daily'!$F$5:$F$369))</f>
        <v/>
      </c>
      <c r="K18" s="43">
        <f t="shared" si="4"/>
        <v>1.55</v>
      </c>
      <c r="L18" s="43" t="str">
        <f>IF(COUNTIFS('Input Data Daily'!$K$5:$K$369,$A18,'Input Data Daily'!$H$5:$H$369,"&lt;&gt;")=0,"",AVERAGEIF('Input Data Daily'!$K$5:$K$369,$A18,'Input Data Daily'!$H$5:$H$369))</f>
        <v/>
      </c>
      <c r="M18" s="43">
        <f t="shared" si="5"/>
        <v>2.7</v>
      </c>
      <c r="N18" s="47">
        <f>SUMIF('Input Data Daily'!$K$5:$K$369,$A18,'Input Data Daily'!$I$5:$I$369)</f>
        <v>0</v>
      </c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</row>
    <row r="19" spans="1:35" x14ac:dyDescent="0.35">
      <c r="A19" s="39" t="str">
        <f>INDEX('Input Data Daily'!$K$5:$K$369,(ROW()-15)*7+1)</f>
        <v>W05</v>
      </c>
      <c r="B19" s="41" t="str">
        <f>IF(COUNTIFS('Input Data Daily'!$K$5:$K$369,$A19,'Input Data Daily'!$B$5:$B$369,"&lt;&gt;")=0,"",AVERAGEIF('Input Data Daily'!$K$5:$K$369,$A19,'Input Data Daily'!$B$5:$B$369))</f>
        <v/>
      </c>
      <c r="C19" s="41">
        <f t="shared" si="0"/>
        <v>0.93</v>
      </c>
      <c r="D19" s="41" t="str">
        <f>IF(COUNTIFS('Input Data Daily'!$K$5:$K$369,$A19,'Input Data Daily'!$C$5:$C$369,"&lt;&gt;")=0,"",AVERAGEIF('Input Data Daily'!$K$5:$K$369,$A19,'Input Data Daily'!$C$5:$C$369))</f>
        <v/>
      </c>
      <c r="E19" s="41">
        <f t="shared" si="1"/>
        <v>0.88</v>
      </c>
      <c r="F19" s="45" t="str">
        <f>IF(COUNTIFS('Input Data Daily'!$K$5:$K$369,$A19,'Input Data Daily'!$D$5:$D$369,"&lt;&gt;")=0,"",AVERAGEIF('Input Data Daily'!$K$5:$K$369,$A19,'Input Data Daily'!$D$5:$D$369))</f>
        <v/>
      </c>
      <c r="G19" s="45">
        <f t="shared" si="2"/>
        <v>205</v>
      </c>
      <c r="H19" s="43" t="str">
        <f>IF(COUNTIFS('Input Data Daily'!$K$5:$K$369,$A19,'Input Data Daily'!$E$5:$E$369,"&lt;&gt;")=0,"",AVERAGEIF('Input Data Daily'!$K$5:$K$369,$A19,'Input Data Daily'!$E$5:$E$369))</f>
        <v/>
      </c>
      <c r="I19" s="43">
        <f t="shared" si="3"/>
        <v>7.5</v>
      </c>
      <c r="J19" s="43" t="str">
        <f>IF(COUNTIFS('Input Data Daily'!$K$5:$K$369,$A19,'Input Data Daily'!$F$5:$F$369,"&lt;&gt;")=0,"",AVERAGEIF('Input Data Daily'!$K$5:$K$369,$A19,'Input Data Daily'!$F$5:$F$369))</f>
        <v/>
      </c>
      <c r="K19" s="43">
        <f t="shared" si="4"/>
        <v>1.55</v>
      </c>
      <c r="L19" s="43" t="str">
        <f>IF(COUNTIFS('Input Data Daily'!$K$5:$K$369,$A19,'Input Data Daily'!$H$5:$H$369,"&lt;&gt;")=0,"",AVERAGEIF('Input Data Daily'!$K$5:$K$369,$A19,'Input Data Daily'!$H$5:$H$369))</f>
        <v/>
      </c>
      <c r="M19" s="43">
        <f t="shared" si="5"/>
        <v>2.7</v>
      </c>
      <c r="N19" s="47">
        <f>SUMIF('Input Data Daily'!$K$5:$K$369,$A19,'Input Data Daily'!$I$5:$I$369)</f>
        <v>0</v>
      </c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</row>
    <row r="20" spans="1:35" x14ac:dyDescent="0.35">
      <c r="A20" s="39" t="str">
        <f>INDEX('Input Data Daily'!$K$5:$K$369,(ROW()-15)*7+1)</f>
        <v>W06</v>
      </c>
      <c r="B20" s="41" t="str">
        <f>IF(COUNTIFS('Input Data Daily'!$K$5:$K$369,$A20,'Input Data Daily'!$B$5:$B$369,"&lt;&gt;")=0,"",AVERAGEIF('Input Data Daily'!$K$5:$K$369,$A20,'Input Data Daily'!$B$5:$B$369))</f>
        <v/>
      </c>
      <c r="C20" s="41">
        <f t="shared" si="0"/>
        <v>0.93</v>
      </c>
      <c r="D20" s="41" t="str">
        <f>IF(COUNTIFS('Input Data Daily'!$K$5:$K$369,$A20,'Input Data Daily'!$C$5:$C$369,"&lt;&gt;")=0,"",AVERAGEIF('Input Data Daily'!$K$5:$K$369,$A20,'Input Data Daily'!$C$5:$C$369))</f>
        <v/>
      </c>
      <c r="E20" s="41">
        <f t="shared" si="1"/>
        <v>0.88</v>
      </c>
      <c r="F20" s="45" t="str">
        <f>IF(COUNTIFS('Input Data Daily'!$K$5:$K$369,$A20,'Input Data Daily'!$D$5:$D$369,"&lt;&gt;")=0,"",AVERAGEIF('Input Data Daily'!$K$5:$K$369,$A20,'Input Data Daily'!$D$5:$D$369))</f>
        <v/>
      </c>
      <c r="G20" s="45">
        <f t="shared" si="2"/>
        <v>205</v>
      </c>
      <c r="H20" s="43" t="str">
        <f>IF(COUNTIFS('Input Data Daily'!$K$5:$K$369,$A20,'Input Data Daily'!$E$5:$E$369,"&lt;&gt;")=0,"",AVERAGEIF('Input Data Daily'!$K$5:$K$369,$A20,'Input Data Daily'!$E$5:$E$369))</f>
        <v/>
      </c>
      <c r="I20" s="43">
        <f t="shared" si="3"/>
        <v>7.5</v>
      </c>
      <c r="J20" s="43" t="str">
        <f>IF(COUNTIFS('Input Data Daily'!$K$5:$K$369,$A20,'Input Data Daily'!$F$5:$F$369,"&lt;&gt;")=0,"",AVERAGEIF('Input Data Daily'!$K$5:$K$369,$A20,'Input Data Daily'!$F$5:$F$369))</f>
        <v/>
      </c>
      <c r="K20" s="43">
        <f t="shared" si="4"/>
        <v>1.55</v>
      </c>
      <c r="L20" s="43" t="str">
        <f>IF(COUNTIFS('Input Data Daily'!$K$5:$K$369,$A20,'Input Data Daily'!$H$5:$H$369,"&lt;&gt;")=0,"",AVERAGEIF('Input Data Daily'!$K$5:$K$369,$A20,'Input Data Daily'!$H$5:$H$369))</f>
        <v/>
      </c>
      <c r="M20" s="43">
        <f t="shared" si="5"/>
        <v>2.7</v>
      </c>
      <c r="N20" s="47">
        <f>SUMIF('Input Data Daily'!$K$5:$K$369,$A20,'Input Data Daily'!$I$5:$I$369)</f>
        <v>0</v>
      </c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</row>
    <row r="21" spans="1:35" x14ac:dyDescent="0.35">
      <c r="A21" s="39" t="str">
        <f>INDEX('Input Data Daily'!$K$5:$K$369,(ROW()-15)*7+1)</f>
        <v>W07</v>
      </c>
      <c r="B21" s="41" t="str">
        <f>IF(COUNTIFS('Input Data Daily'!$K$5:$K$369,$A21,'Input Data Daily'!$B$5:$B$369,"&lt;&gt;")=0,"",AVERAGEIF('Input Data Daily'!$K$5:$K$369,$A21,'Input Data Daily'!$B$5:$B$369))</f>
        <v/>
      </c>
      <c r="C21" s="41">
        <f t="shared" si="0"/>
        <v>0.93</v>
      </c>
      <c r="D21" s="41" t="str">
        <f>IF(COUNTIFS('Input Data Daily'!$K$5:$K$369,$A21,'Input Data Daily'!$C$5:$C$369,"&lt;&gt;")=0,"",AVERAGEIF('Input Data Daily'!$K$5:$K$369,$A21,'Input Data Daily'!$C$5:$C$369))</f>
        <v/>
      </c>
      <c r="E21" s="41">
        <f t="shared" si="1"/>
        <v>0.88</v>
      </c>
      <c r="F21" s="45" t="str">
        <f>IF(COUNTIFS('Input Data Daily'!$K$5:$K$369,$A21,'Input Data Daily'!$D$5:$D$369,"&lt;&gt;")=0,"",AVERAGEIF('Input Data Daily'!$K$5:$K$369,$A21,'Input Data Daily'!$D$5:$D$369))</f>
        <v/>
      </c>
      <c r="G21" s="45">
        <f t="shared" si="2"/>
        <v>205</v>
      </c>
      <c r="H21" s="43" t="str">
        <f>IF(COUNTIFS('Input Data Daily'!$K$5:$K$369,$A21,'Input Data Daily'!$E$5:$E$369,"&lt;&gt;")=0,"",AVERAGEIF('Input Data Daily'!$K$5:$K$369,$A21,'Input Data Daily'!$E$5:$E$369))</f>
        <v/>
      </c>
      <c r="I21" s="43">
        <f t="shared" si="3"/>
        <v>7.5</v>
      </c>
      <c r="J21" s="43" t="str">
        <f>IF(COUNTIFS('Input Data Daily'!$K$5:$K$369,$A21,'Input Data Daily'!$F$5:$F$369,"&lt;&gt;")=0,"",AVERAGEIF('Input Data Daily'!$K$5:$K$369,$A21,'Input Data Daily'!$F$5:$F$369))</f>
        <v/>
      </c>
      <c r="K21" s="43">
        <f t="shared" si="4"/>
        <v>1.55</v>
      </c>
      <c r="L21" s="43" t="str">
        <f>IF(COUNTIFS('Input Data Daily'!$K$5:$K$369,$A21,'Input Data Daily'!$H$5:$H$369,"&lt;&gt;")=0,"",AVERAGEIF('Input Data Daily'!$K$5:$K$369,$A21,'Input Data Daily'!$H$5:$H$369))</f>
        <v/>
      </c>
      <c r="M21" s="43">
        <f t="shared" si="5"/>
        <v>2.7</v>
      </c>
      <c r="N21" s="47">
        <f>SUMIF('Input Data Daily'!$K$5:$K$369,$A21,'Input Data Daily'!$I$5:$I$369)</f>
        <v>0</v>
      </c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</row>
    <row r="22" spans="1:35" x14ac:dyDescent="0.35">
      <c r="A22" s="39" t="str">
        <f>INDEX('Input Data Daily'!$K$5:$K$369,(ROW()-15)*7+1)</f>
        <v>W08</v>
      </c>
      <c r="B22" s="41" t="str">
        <f>IF(COUNTIFS('Input Data Daily'!$K$5:$K$369,$A22,'Input Data Daily'!$B$5:$B$369,"&lt;&gt;")=0,"",AVERAGEIF('Input Data Daily'!$K$5:$K$369,$A22,'Input Data Daily'!$B$5:$B$369))</f>
        <v/>
      </c>
      <c r="C22" s="41">
        <f t="shared" si="0"/>
        <v>0.93</v>
      </c>
      <c r="D22" s="41" t="str">
        <f>IF(COUNTIFS('Input Data Daily'!$K$5:$K$369,$A22,'Input Data Daily'!$C$5:$C$369,"&lt;&gt;")=0,"",AVERAGEIF('Input Data Daily'!$K$5:$K$369,$A22,'Input Data Daily'!$C$5:$C$369))</f>
        <v/>
      </c>
      <c r="E22" s="41">
        <f t="shared" si="1"/>
        <v>0.88</v>
      </c>
      <c r="F22" s="45" t="str">
        <f>IF(COUNTIFS('Input Data Daily'!$K$5:$K$369,$A22,'Input Data Daily'!$D$5:$D$369,"&lt;&gt;")=0,"",AVERAGEIF('Input Data Daily'!$K$5:$K$369,$A22,'Input Data Daily'!$D$5:$D$369))</f>
        <v/>
      </c>
      <c r="G22" s="45">
        <f t="shared" si="2"/>
        <v>205</v>
      </c>
      <c r="H22" s="43" t="str">
        <f>IF(COUNTIFS('Input Data Daily'!$K$5:$K$369,$A22,'Input Data Daily'!$E$5:$E$369,"&lt;&gt;")=0,"",AVERAGEIF('Input Data Daily'!$K$5:$K$369,$A22,'Input Data Daily'!$E$5:$E$369))</f>
        <v/>
      </c>
      <c r="I22" s="43">
        <f t="shared" si="3"/>
        <v>7.5</v>
      </c>
      <c r="J22" s="43" t="str">
        <f>IF(COUNTIFS('Input Data Daily'!$K$5:$K$369,$A22,'Input Data Daily'!$F$5:$F$369,"&lt;&gt;")=0,"",AVERAGEIF('Input Data Daily'!$K$5:$K$369,$A22,'Input Data Daily'!$F$5:$F$369))</f>
        <v/>
      </c>
      <c r="K22" s="43">
        <f t="shared" si="4"/>
        <v>1.55</v>
      </c>
      <c r="L22" s="43" t="str">
        <f>IF(COUNTIFS('Input Data Daily'!$K$5:$K$369,$A22,'Input Data Daily'!$H$5:$H$369,"&lt;&gt;")=0,"",AVERAGEIF('Input Data Daily'!$K$5:$K$369,$A22,'Input Data Daily'!$H$5:$H$369))</f>
        <v/>
      </c>
      <c r="M22" s="43">
        <f t="shared" si="5"/>
        <v>2.7</v>
      </c>
      <c r="N22" s="47">
        <f>SUMIF('Input Data Daily'!$K$5:$K$369,$A22,'Input Data Daily'!$I$5:$I$369)</f>
        <v>0</v>
      </c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</row>
    <row r="23" spans="1:35" x14ac:dyDescent="0.35">
      <c r="A23" s="39" t="str">
        <f>INDEX('Input Data Daily'!$K$5:$K$369,(ROW()-15)*7+1)</f>
        <v>W09</v>
      </c>
      <c r="B23" s="41" t="str">
        <f>IF(COUNTIFS('Input Data Daily'!$K$5:$K$369,$A23,'Input Data Daily'!$B$5:$B$369,"&lt;&gt;")=0,"",AVERAGEIF('Input Data Daily'!$K$5:$K$369,$A23,'Input Data Daily'!$B$5:$B$369))</f>
        <v/>
      </c>
      <c r="C23" s="41">
        <f t="shared" si="0"/>
        <v>0.93</v>
      </c>
      <c r="D23" s="41" t="str">
        <f>IF(COUNTIFS('Input Data Daily'!$K$5:$K$369,$A23,'Input Data Daily'!$C$5:$C$369,"&lt;&gt;")=0,"",AVERAGEIF('Input Data Daily'!$K$5:$K$369,$A23,'Input Data Daily'!$C$5:$C$369))</f>
        <v/>
      </c>
      <c r="E23" s="41">
        <f t="shared" si="1"/>
        <v>0.88</v>
      </c>
      <c r="F23" s="45" t="str">
        <f>IF(COUNTIFS('Input Data Daily'!$K$5:$K$369,$A23,'Input Data Daily'!$D$5:$D$369,"&lt;&gt;")=0,"",AVERAGEIF('Input Data Daily'!$K$5:$K$369,$A23,'Input Data Daily'!$D$5:$D$369))</f>
        <v/>
      </c>
      <c r="G23" s="45">
        <f t="shared" si="2"/>
        <v>205</v>
      </c>
      <c r="H23" s="43" t="str">
        <f>IF(COUNTIFS('Input Data Daily'!$K$5:$K$369,$A23,'Input Data Daily'!$E$5:$E$369,"&lt;&gt;")=0,"",AVERAGEIF('Input Data Daily'!$K$5:$K$369,$A23,'Input Data Daily'!$E$5:$E$369))</f>
        <v/>
      </c>
      <c r="I23" s="43">
        <f t="shared" si="3"/>
        <v>7.5</v>
      </c>
      <c r="J23" s="43" t="str">
        <f>IF(COUNTIFS('Input Data Daily'!$K$5:$K$369,$A23,'Input Data Daily'!$F$5:$F$369,"&lt;&gt;")=0,"",AVERAGEIF('Input Data Daily'!$K$5:$K$369,$A23,'Input Data Daily'!$F$5:$F$369))</f>
        <v/>
      </c>
      <c r="K23" s="43">
        <f t="shared" si="4"/>
        <v>1.55</v>
      </c>
      <c r="L23" s="43" t="str">
        <f>IF(COUNTIFS('Input Data Daily'!$K$5:$K$369,$A23,'Input Data Daily'!$H$5:$H$369,"&lt;&gt;")=0,"",AVERAGEIF('Input Data Daily'!$K$5:$K$369,$A23,'Input Data Daily'!$H$5:$H$369))</f>
        <v/>
      </c>
      <c r="M23" s="43">
        <f t="shared" si="5"/>
        <v>2.7</v>
      </c>
      <c r="N23" s="47">
        <f>SUMIF('Input Data Daily'!$K$5:$K$369,$A23,'Input Data Daily'!$I$5:$I$369)</f>
        <v>0</v>
      </c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</row>
    <row r="24" spans="1:35" x14ac:dyDescent="0.35">
      <c r="A24" s="39" t="str">
        <f>INDEX('Input Data Daily'!$K$5:$K$369,(ROW()-15)*7+1)</f>
        <v>W10</v>
      </c>
      <c r="B24" s="41" t="str">
        <f>IF(COUNTIFS('Input Data Daily'!$K$5:$K$369,$A24,'Input Data Daily'!$B$5:$B$369,"&lt;&gt;")=0,"",AVERAGEIF('Input Data Daily'!$K$5:$K$369,$A24,'Input Data Daily'!$B$5:$B$369))</f>
        <v/>
      </c>
      <c r="C24" s="41">
        <f t="shared" si="0"/>
        <v>0.93</v>
      </c>
      <c r="D24" s="41" t="str">
        <f>IF(COUNTIFS('Input Data Daily'!$K$5:$K$369,$A24,'Input Data Daily'!$C$5:$C$369,"&lt;&gt;")=0,"",AVERAGEIF('Input Data Daily'!$K$5:$K$369,$A24,'Input Data Daily'!$C$5:$C$369))</f>
        <v/>
      </c>
      <c r="E24" s="41">
        <f t="shared" si="1"/>
        <v>0.88</v>
      </c>
      <c r="F24" s="45" t="str">
        <f>IF(COUNTIFS('Input Data Daily'!$K$5:$K$369,$A24,'Input Data Daily'!$D$5:$D$369,"&lt;&gt;")=0,"",AVERAGEIF('Input Data Daily'!$K$5:$K$369,$A24,'Input Data Daily'!$D$5:$D$369))</f>
        <v/>
      </c>
      <c r="G24" s="45">
        <f t="shared" si="2"/>
        <v>205</v>
      </c>
      <c r="H24" s="43" t="str">
        <f>IF(COUNTIFS('Input Data Daily'!$K$5:$K$369,$A24,'Input Data Daily'!$E$5:$E$369,"&lt;&gt;")=0,"",AVERAGEIF('Input Data Daily'!$K$5:$K$369,$A24,'Input Data Daily'!$E$5:$E$369))</f>
        <v/>
      </c>
      <c r="I24" s="43">
        <f t="shared" si="3"/>
        <v>7.5</v>
      </c>
      <c r="J24" s="43" t="str">
        <f>IF(COUNTIFS('Input Data Daily'!$K$5:$K$369,$A24,'Input Data Daily'!$F$5:$F$369,"&lt;&gt;")=0,"",AVERAGEIF('Input Data Daily'!$K$5:$K$369,$A24,'Input Data Daily'!$F$5:$F$369))</f>
        <v/>
      </c>
      <c r="K24" s="43">
        <f t="shared" si="4"/>
        <v>1.55</v>
      </c>
      <c r="L24" s="43" t="str">
        <f>IF(COUNTIFS('Input Data Daily'!$K$5:$K$369,$A24,'Input Data Daily'!$H$5:$H$369,"&lt;&gt;")=0,"",AVERAGEIF('Input Data Daily'!$K$5:$K$369,$A24,'Input Data Daily'!$H$5:$H$369))</f>
        <v/>
      </c>
      <c r="M24" s="43">
        <f t="shared" si="5"/>
        <v>2.7</v>
      </c>
      <c r="N24" s="47">
        <f>SUMIF('Input Data Daily'!$K$5:$K$369,$A24,'Input Data Daily'!$I$5:$I$369)</f>
        <v>0</v>
      </c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</row>
    <row r="25" spans="1:35" x14ac:dyDescent="0.35">
      <c r="A25" s="39" t="str">
        <f>INDEX('Input Data Daily'!$K$5:$K$369,(ROW()-15)*7+1)</f>
        <v>W11</v>
      </c>
      <c r="B25" s="41" t="str">
        <f>IF(COUNTIFS('Input Data Daily'!$K$5:$K$369,$A25,'Input Data Daily'!$B$5:$B$369,"&lt;&gt;")=0,"",AVERAGEIF('Input Data Daily'!$K$5:$K$369,$A25,'Input Data Daily'!$B$5:$B$369))</f>
        <v/>
      </c>
      <c r="C25" s="41">
        <f t="shared" si="0"/>
        <v>0.93</v>
      </c>
      <c r="D25" s="41" t="str">
        <f>IF(COUNTIFS('Input Data Daily'!$K$5:$K$369,$A25,'Input Data Daily'!$C$5:$C$369,"&lt;&gt;")=0,"",AVERAGEIF('Input Data Daily'!$K$5:$K$369,$A25,'Input Data Daily'!$C$5:$C$369))</f>
        <v/>
      </c>
      <c r="E25" s="41">
        <f t="shared" si="1"/>
        <v>0.88</v>
      </c>
      <c r="F25" s="45" t="str">
        <f>IF(COUNTIFS('Input Data Daily'!$K$5:$K$369,$A25,'Input Data Daily'!$D$5:$D$369,"&lt;&gt;")=0,"",AVERAGEIF('Input Data Daily'!$K$5:$K$369,$A25,'Input Data Daily'!$D$5:$D$369))</f>
        <v/>
      </c>
      <c r="G25" s="45">
        <f t="shared" si="2"/>
        <v>205</v>
      </c>
      <c r="H25" s="43" t="str">
        <f>IF(COUNTIFS('Input Data Daily'!$K$5:$K$369,$A25,'Input Data Daily'!$E$5:$E$369,"&lt;&gt;")=0,"",AVERAGEIF('Input Data Daily'!$K$5:$K$369,$A25,'Input Data Daily'!$E$5:$E$369))</f>
        <v/>
      </c>
      <c r="I25" s="43">
        <f t="shared" si="3"/>
        <v>7.5</v>
      </c>
      <c r="J25" s="43" t="str">
        <f>IF(COUNTIFS('Input Data Daily'!$K$5:$K$369,$A25,'Input Data Daily'!$F$5:$F$369,"&lt;&gt;")=0,"",AVERAGEIF('Input Data Daily'!$K$5:$K$369,$A25,'Input Data Daily'!$F$5:$F$369))</f>
        <v/>
      </c>
      <c r="K25" s="43">
        <f t="shared" si="4"/>
        <v>1.55</v>
      </c>
      <c r="L25" s="43" t="str">
        <f>IF(COUNTIFS('Input Data Daily'!$K$5:$K$369,$A25,'Input Data Daily'!$H$5:$H$369,"&lt;&gt;")=0,"",AVERAGEIF('Input Data Daily'!$K$5:$K$369,$A25,'Input Data Daily'!$H$5:$H$369))</f>
        <v/>
      </c>
      <c r="M25" s="43">
        <f t="shared" si="5"/>
        <v>2.7</v>
      </c>
      <c r="N25" s="47">
        <f>SUMIF('Input Data Daily'!$K$5:$K$369,$A25,'Input Data Daily'!$I$5:$I$369)</f>
        <v>0</v>
      </c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</row>
    <row r="26" spans="1:35" x14ac:dyDescent="0.35">
      <c r="A26" s="39" t="str">
        <f>INDEX('Input Data Daily'!$K$5:$K$369,(ROW()-15)*7+1)</f>
        <v>W12</v>
      </c>
      <c r="B26" s="41" t="str">
        <f>IF(COUNTIFS('Input Data Daily'!$K$5:$K$369,$A26,'Input Data Daily'!$B$5:$B$369,"&lt;&gt;")=0,"",AVERAGEIF('Input Data Daily'!$K$5:$K$369,$A26,'Input Data Daily'!$B$5:$B$369))</f>
        <v/>
      </c>
      <c r="C26" s="41">
        <f t="shared" si="0"/>
        <v>0.93</v>
      </c>
      <c r="D26" s="41" t="str">
        <f>IF(COUNTIFS('Input Data Daily'!$K$5:$K$369,$A26,'Input Data Daily'!$C$5:$C$369,"&lt;&gt;")=0,"",AVERAGEIF('Input Data Daily'!$K$5:$K$369,$A26,'Input Data Daily'!$C$5:$C$369))</f>
        <v/>
      </c>
      <c r="E26" s="41">
        <f t="shared" si="1"/>
        <v>0.88</v>
      </c>
      <c r="F26" s="45" t="str">
        <f>IF(COUNTIFS('Input Data Daily'!$K$5:$K$369,$A26,'Input Data Daily'!$D$5:$D$369,"&lt;&gt;")=0,"",AVERAGEIF('Input Data Daily'!$K$5:$K$369,$A26,'Input Data Daily'!$D$5:$D$369))</f>
        <v/>
      </c>
      <c r="G26" s="45">
        <f t="shared" si="2"/>
        <v>205</v>
      </c>
      <c r="H26" s="43" t="str">
        <f>IF(COUNTIFS('Input Data Daily'!$K$5:$K$369,$A26,'Input Data Daily'!$E$5:$E$369,"&lt;&gt;")=0,"",AVERAGEIF('Input Data Daily'!$K$5:$K$369,$A26,'Input Data Daily'!$E$5:$E$369))</f>
        <v/>
      </c>
      <c r="I26" s="43">
        <f t="shared" si="3"/>
        <v>7.5</v>
      </c>
      <c r="J26" s="43" t="str">
        <f>IF(COUNTIFS('Input Data Daily'!$K$5:$K$369,$A26,'Input Data Daily'!$F$5:$F$369,"&lt;&gt;")=0,"",AVERAGEIF('Input Data Daily'!$K$5:$K$369,$A26,'Input Data Daily'!$F$5:$F$369))</f>
        <v/>
      </c>
      <c r="K26" s="43">
        <f t="shared" si="4"/>
        <v>1.55</v>
      </c>
      <c r="L26" s="43" t="str">
        <f>IF(COUNTIFS('Input Data Daily'!$K$5:$K$369,$A26,'Input Data Daily'!$H$5:$H$369,"&lt;&gt;")=0,"",AVERAGEIF('Input Data Daily'!$K$5:$K$369,$A26,'Input Data Daily'!$H$5:$H$369))</f>
        <v/>
      </c>
      <c r="M26" s="43">
        <f t="shared" si="5"/>
        <v>2.7</v>
      </c>
      <c r="N26" s="47">
        <f>SUMIF('Input Data Daily'!$K$5:$K$369,$A26,'Input Data Daily'!$I$5:$I$369)</f>
        <v>0</v>
      </c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</row>
    <row r="27" spans="1:35" x14ac:dyDescent="0.35">
      <c r="A27" s="39" t="str">
        <f>INDEX('Input Data Daily'!$K$5:$K$369,(ROW()-15)*7+1)</f>
        <v>W13</v>
      </c>
      <c r="B27" s="41" t="str">
        <f>IF(COUNTIFS('Input Data Daily'!$K$5:$K$369,$A27,'Input Data Daily'!$B$5:$B$369,"&lt;&gt;")=0,"",AVERAGEIF('Input Data Daily'!$K$5:$K$369,$A27,'Input Data Daily'!$B$5:$B$369))</f>
        <v/>
      </c>
      <c r="C27" s="41">
        <f t="shared" si="0"/>
        <v>0.93</v>
      </c>
      <c r="D27" s="41" t="str">
        <f>IF(COUNTIFS('Input Data Daily'!$K$5:$K$369,$A27,'Input Data Daily'!$C$5:$C$369,"&lt;&gt;")=0,"",AVERAGEIF('Input Data Daily'!$K$5:$K$369,$A27,'Input Data Daily'!$C$5:$C$369))</f>
        <v/>
      </c>
      <c r="E27" s="41">
        <f t="shared" si="1"/>
        <v>0.88</v>
      </c>
      <c r="F27" s="45" t="str">
        <f>IF(COUNTIFS('Input Data Daily'!$K$5:$K$369,$A27,'Input Data Daily'!$D$5:$D$369,"&lt;&gt;")=0,"",AVERAGEIF('Input Data Daily'!$K$5:$K$369,$A27,'Input Data Daily'!$D$5:$D$369))</f>
        <v/>
      </c>
      <c r="G27" s="45">
        <f t="shared" si="2"/>
        <v>205</v>
      </c>
      <c r="H27" s="43" t="str">
        <f>IF(COUNTIFS('Input Data Daily'!$K$5:$K$369,$A27,'Input Data Daily'!$E$5:$E$369,"&lt;&gt;")=0,"",AVERAGEIF('Input Data Daily'!$K$5:$K$369,$A27,'Input Data Daily'!$E$5:$E$369))</f>
        <v/>
      </c>
      <c r="I27" s="43">
        <f t="shared" si="3"/>
        <v>7.5</v>
      </c>
      <c r="J27" s="43" t="str">
        <f>IF(COUNTIFS('Input Data Daily'!$K$5:$K$369,$A27,'Input Data Daily'!$F$5:$F$369,"&lt;&gt;")=0,"",AVERAGEIF('Input Data Daily'!$K$5:$K$369,$A27,'Input Data Daily'!$F$5:$F$369))</f>
        <v/>
      </c>
      <c r="K27" s="43">
        <f t="shared" si="4"/>
        <v>1.55</v>
      </c>
      <c r="L27" s="43" t="str">
        <f>IF(COUNTIFS('Input Data Daily'!$K$5:$K$369,$A27,'Input Data Daily'!$H$5:$H$369,"&lt;&gt;")=0,"",AVERAGEIF('Input Data Daily'!$K$5:$K$369,$A27,'Input Data Daily'!$H$5:$H$369))</f>
        <v/>
      </c>
      <c r="M27" s="43">
        <f t="shared" si="5"/>
        <v>2.7</v>
      </c>
      <c r="N27" s="47">
        <f>SUMIF('Input Data Daily'!$K$5:$K$369,$A27,'Input Data Daily'!$I$5:$I$369)</f>
        <v>0</v>
      </c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</row>
    <row r="28" spans="1:35" x14ac:dyDescent="0.35">
      <c r="A28" s="39" t="str">
        <f>INDEX('Input Data Daily'!$K$5:$K$369,(ROW()-15)*7+1)</f>
        <v>W14</v>
      </c>
      <c r="B28" s="41" t="str">
        <f>IF(COUNTIFS('Input Data Daily'!$K$5:$K$369,$A28,'Input Data Daily'!$B$5:$B$369,"&lt;&gt;")=0,"",AVERAGEIF('Input Data Daily'!$K$5:$K$369,$A28,'Input Data Daily'!$B$5:$B$369))</f>
        <v/>
      </c>
      <c r="C28" s="41">
        <f t="shared" si="0"/>
        <v>0.93</v>
      </c>
      <c r="D28" s="41" t="str">
        <f>IF(COUNTIFS('Input Data Daily'!$K$5:$K$369,$A28,'Input Data Daily'!$C$5:$C$369,"&lt;&gt;")=0,"",AVERAGEIF('Input Data Daily'!$K$5:$K$369,$A28,'Input Data Daily'!$C$5:$C$369))</f>
        <v/>
      </c>
      <c r="E28" s="41">
        <f t="shared" si="1"/>
        <v>0.88</v>
      </c>
      <c r="F28" s="45" t="str">
        <f>IF(COUNTIFS('Input Data Daily'!$K$5:$K$369,$A28,'Input Data Daily'!$D$5:$D$369,"&lt;&gt;")=0,"",AVERAGEIF('Input Data Daily'!$K$5:$K$369,$A28,'Input Data Daily'!$D$5:$D$369))</f>
        <v/>
      </c>
      <c r="G28" s="45">
        <f t="shared" si="2"/>
        <v>205</v>
      </c>
      <c r="H28" s="43" t="str">
        <f>IF(COUNTIFS('Input Data Daily'!$K$5:$K$369,$A28,'Input Data Daily'!$E$5:$E$369,"&lt;&gt;")=0,"",AVERAGEIF('Input Data Daily'!$K$5:$K$369,$A28,'Input Data Daily'!$E$5:$E$369))</f>
        <v/>
      </c>
      <c r="I28" s="43">
        <f t="shared" si="3"/>
        <v>7.5</v>
      </c>
      <c r="J28" s="43" t="str">
        <f>IF(COUNTIFS('Input Data Daily'!$K$5:$K$369,$A28,'Input Data Daily'!$F$5:$F$369,"&lt;&gt;")=0,"",AVERAGEIF('Input Data Daily'!$K$5:$K$369,$A28,'Input Data Daily'!$F$5:$F$369))</f>
        <v/>
      </c>
      <c r="K28" s="43">
        <f t="shared" si="4"/>
        <v>1.55</v>
      </c>
      <c r="L28" s="43" t="str">
        <f>IF(COUNTIFS('Input Data Daily'!$K$5:$K$369,$A28,'Input Data Daily'!$H$5:$H$369,"&lt;&gt;")=0,"",AVERAGEIF('Input Data Daily'!$K$5:$K$369,$A28,'Input Data Daily'!$H$5:$H$369))</f>
        <v/>
      </c>
      <c r="M28" s="43">
        <f t="shared" si="5"/>
        <v>2.7</v>
      </c>
      <c r="N28" s="47">
        <f>SUMIF('Input Data Daily'!$K$5:$K$369,$A28,'Input Data Daily'!$I$5:$I$369)</f>
        <v>0</v>
      </c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</row>
    <row r="29" spans="1:35" x14ac:dyDescent="0.35">
      <c r="A29" s="39" t="str">
        <f>INDEX('Input Data Daily'!$K$5:$K$369,(ROW()-15)*7+1)</f>
        <v>W15</v>
      </c>
      <c r="B29" s="41" t="str">
        <f>IF(COUNTIFS('Input Data Daily'!$K$5:$K$369,$A29,'Input Data Daily'!$B$5:$B$369,"&lt;&gt;")=0,"",AVERAGEIF('Input Data Daily'!$K$5:$K$369,$A29,'Input Data Daily'!$B$5:$B$369))</f>
        <v/>
      </c>
      <c r="C29" s="41">
        <f t="shared" si="0"/>
        <v>0.93</v>
      </c>
      <c r="D29" s="41" t="str">
        <f>IF(COUNTIFS('Input Data Daily'!$K$5:$K$369,$A29,'Input Data Daily'!$C$5:$C$369,"&lt;&gt;")=0,"",AVERAGEIF('Input Data Daily'!$K$5:$K$369,$A29,'Input Data Daily'!$C$5:$C$369))</f>
        <v/>
      </c>
      <c r="E29" s="41">
        <f t="shared" si="1"/>
        <v>0.88</v>
      </c>
      <c r="F29" s="45" t="str">
        <f>IF(COUNTIFS('Input Data Daily'!$K$5:$K$369,$A29,'Input Data Daily'!$D$5:$D$369,"&lt;&gt;")=0,"",AVERAGEIF('Input Data Daily'!$K$5:$K$369,$A29,'Input Data Daily'!$D$5:$D$369))</f>
        <v/>
      </c>
      <c r="G29" s="45">
        <f t="shared" si="2"/>
        <v>205</v>
      </c>
      <c r="H29" s="43" t="str">
        <f>IF(COUNTIFS('Input Data Daily'!$K$5:$K$369,$A29,'Input Data Daily'!$E$5:$E$369,"&lt;&gt;")=0,"",AVERAGEIF('Input Data Daily'!$K$5:$K$369,$A29,'Input Data Daily'!$E$5:$E$369))</f>
        <v/>
      </c>
      <c r="I29" s="43">
        <f t="shared" si="3"/>
        <v>7.5</v>
      </c>
      <c r="J29" s="43" t="str">
        <f>IF(COUNTIFS('Input Data Daily'!$K$5:$K$369,$A29,'Input Data Daily'!$F$5:$F$369,"&lt;&gt;")=0,"",AVERAGEIF('Input Data Daily'!$K$5:$K$369,$A29,'Input Data Daily'!$F$5:$F$369))</f>
        <v/>
      </c>
      <c r="K29" s="43">
        <f t="shared" si="4"/>
        <v>1.55</v>
      </c>
      <c r="L29" s="43" t="str">
        <f>IF(COUNTIFS('Input Data Daily'!$K$5:$K$369,$A29,'Input Data Daily'!$H$5:$H$369,"&lt;&gt;")=0,"",AVERAGEIF('Input Data Daily'!$K$5:$K$369,$A29,'Input Data Daily'!$H$5:$H$369))</f>
        <v/>
      </c>
      <c r="M29" s="43">
        <f t="shared" si="5"/>
        <v>2.7</v>
      </c>
      <c r="N29" s="47">
        <f>SUMIF('Input Data Daily'!$K$5:$K$369,$A29,'Input Data Daily'!$I$5:$I$369)</f>
        <v>0</v>
      </c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</row>
    <row r="30" spans="1:35" x14ac:dyDescent="0.35">
      <c r="A30" s="39" t="str">
        <f>INDEX('Input Data Daily'!$K$5:$K$369,(ROW()-15)*7+1)</f>
        <v>W16</v>
      </c>
      <c r="B30" s="41" t="str">
        <f>IF(COUNTIFS('Input Data Daily'!$K$5:$K$369,$A30,'Input Data Daily'!$B$5:$B$369,"&lt;&gt;")=0,"",AVERAGEIF('Input Data Daily'!$K$5:$K$369,$A30,'Input Data Daily'!$B$5:$B$369))</f>
        <v/>
      </c>
      <c r="C30" s="41">
        <f t="shared" si="0"/>
        <v>0.93</v>
      </c>
      <c r="D30" s="41" t="str">
        <f>IF(COUNTIFS('Input Data Daily'!$K$5:$K$369,$A30,'Input Data Daily'!$C$5:$C$369,"&lt;&gt;")=0,"",AVERAGEIF('Input Data Daily'!$K$5:$K$369,$A30,'Input Data Daily'!$C$5:$C$369))</f>
        <v/>
      </c>
      <c r="E30" s="41">
        <f t="shared" si="1"/>
        <v>0.88</v>
      </c>
      <c r="F30" s="45" t="str">
        <f>IF(COUNTIFS('Input Data Daily'!$K$5:$K$369,$A30,'Input Data Daily'!$D$5:$D$369,"&lt;&gt;")=0,"",AVERAGEIF('Input Data Daily'!$K$5:$K$369,$A30,'Input Data Daily'!$D$5:$D$369))</f>
        <v/>
      </c>
      <c r="G30" s="45">
        <f t="shared" si="2"/>
        <v>205</v>
      </c>
      <c r="H30" s="43" t="str">
        <f>IF(COUNTIFS('Input Data Daily'!$K$5:$K$369,$A30,'Input Data Daily'!$E$5:$E$369,"&lt;&gt;")=0,"",AVERAGEIF('Input Data Daily'!$K$5:$K$369,$A30,'Input Data Daily'!$E$5:$E$369))</f>
        <v/>
      </c>
      <c r="I30" s="43">
        <f t="shared" si="3"/>
        <v>7.5</v>
      </c>
      <c r="J30" s="43" t="str">
        <f>IF(COUNTIFS('Input Data Daily'!$K$5:$K$369,$A30,'Input Data Daily'!$F$5:$F$369,"&lt;&gt;")=0,"",AVERAGEIF('Input Data Daily'!$K$5:$K$369,$A30,'Input Data Daily'!$F$5:$F$369))</f>
        <v/>
      </c>
      <c r="K30" s="43">
        <f t="shared" si="4"/>
        <v>1.55</v>
      </c>
      <c r="L30" s="43" t="str">
        <f>IF(COUNTIFS('Input Data Daily'!$K$5:$K$369,$A30,'Input Data Daily'!$H$5:$H$369,"&lt;&gt;")=0,"",AVERAGEIF('Input Data Daily'!$K$5:$K$369,$A30,'Input Data Daily'!$H$5:$H$369))</f>
        <v/>
      </c>
      <c r="M30" s="43">
        <f t="shared" si="5"/>
        <v>2.7</v>
      </c>
      <c r="N30" s="47">
        <f>SUMIF('Input Data Daily'!$K$5:$K$369,$A30,'Input Data Daily'!$I$5:$I$369)</f>
        <v>0</v>
      </c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</row>
    <row r="31" spans="1:35" x14ac:dyDescent="0.35">
      <c r="A31" s="39" t="str">
        <f>INDEX('Input Data Daily'!$K$5:$K$369,(ROW()-15)*7+1)</f>
        <v>W17</v>
      </c>
      <c r="B31" s="41" t="str">
        <f>IF(COUNTIFS('Input Data Daily'!$K$5:$K$369,$A31,'Input Data Daily'!$B$5:$B$369,"&lt;&gt;")=0,"",AVERAGEIF('Input Data Daily'!$K$5:$K$369,$A31,'Input Data Daily'!$B$5:$B$369))</f>
        <v/>
      </c>
      <c r="C31" s="41">
        <f t="shared" si="0"/>
        <v>0.93</v>
      </c>
      <c r="D31" s="41" t="str">
        <f>IF(COUNTIFS('Input Data Daily'!$K$5:$K$369,$A31,'Input Data Daily'!$C$5:$C$369,"&lt;&gt;")=0,"",AVERAGEIF('Input Data Daily'!$K$5:$K$369,$A31,'Input Data Daily'!$C$5:$C$369))</f>
        <v/>
      </c>
      <c r="E31" s="41">
        <f t="shared" si="1"/>
        <v>0.88</v>
      </c>
      <c r="F31" s="45" t="str">
        <f>IF(COUNTIFS('Input Data Daily'!$K$5:$K$369,$A31,'Input Data Daily'!$D$5:$D$369,"&lt;&gt;")=0,"",AVERAGEIF('Input Data Daily'!$K$5:$K$369,$A31,'Input Data Daily'!$D$5:$D$369))</f>
        <v/>
      </c>
      <c r="G31" s="45">
        <f t="shared" si="2"/>
        <v>205</v>
      </c>
      <c r="H31" s="43" t="str">
        <f>IF(COUNTIFS('Input Data Daily'!$K$5:$K$369,$A31,'Input Data Daily'!$E$5:$E$369,"&lt;&gt;")=0,"",AVERAGEIF('Input Data Daily'!$K$5:$K$369,$A31,'Input Data Daily'!$E$5:$E$369))</f>
        <v/>
      </c>
      <c r="I31" s="43">
        <f t="shared" si="3"/>
        <v>7.5</v>
      </c>
      <c r="J31" s="43" t="str">
        <f>IF(COUNTIFS('Input Data Daily'!$K$5:$K$369,$A31,'Input Data Daily'!$F$5:$F$369,"&lt;&gt;")=0,"",AVERAGEIF('Input Data Daily'!$K$5:$K$369,$A31,'Input Data Daily'!$F$5:$F$369))</f>
        <v/>
      </c>
      <c r="K31" s="43">
        <f t="shared" si="4"/>
        <v>1.55</v>
      </c>
      <c r="L31" s="43" t="str">
        <f>IF(COUNTIFS('Input Data Daily'!$K$5:$K$369,$A31,'Input Data Daily'!$H$5:$H$369,"&lt;&gt;")=0,"",AVERAGEIF('Input Data Daily'!$K$5:$K$369,$A31,'Input Data Daily'!$H$5:$H$369))</f>
        <v/>
      </c>
      <c r="M31" s="43">
        <f t="shared" si="5"/>
        <v>2.7</v>
      </c>
      <c r="N31" s="47">
        <f>SUMIF('Input Data Daily'!$K$5:$K$369,$A31,'Input Data Daily'!$I$5:$I$369)</f>
        <v>0</v>
      </c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</row>
    <row r="32" spans="1:35" x14ac:dyDescent="0.35">
      <c r="A32" s="39" t="str">
        <f>INDEX('Input Data Daily'!$K$5:$K$369,(ROW()-15)*7+1)</f>
        <v>W18</v>
      </c>
      <c r="B32" s="41" t="str">
        <f>IF(COUNTIFS('Input Data Daily'!$K$5:$K$369,$A32,'Input Data Daily'!$B$5:$B$369,"&lt;&gt;")=0,"",AVERAGEIF('Input Data Daily'!$K$5:$K$369,$A32,'Input Data Daily'!$B$5:$B$369))</f>
        <v/>
      </c>
      <c r="C32" s="41">
        <f t="shared" si="0"/>
        <v>0.93</v>
      </c>
      <c r="D32" s="41" t="str">
        <f>IF(COUNTIFS('Input Data Daily'!$K$5:$K$369,$A32,'Input Data Daily'!$C$5:$C$369,"&lt;&gt;")=0,"",AVERAGEIF('Input Data Daily'!$K$5:$K$369,$A32,'Input Data Daily'!$C$5:$C$369))</f>
        <v/>
      </c>
      <c r="E32" s="41">
        <f t="shared" si="1"/>
        <v>0.88</v>
      </c>
      <c r="F32" s="45" t="str">
        <f>IF(COUNTIFS('Input Data Daily'!$K$5:$K$369,$A32,'Input Data Daily'!$D$5:$D$369,"&lt;&gt;")=0,"",AVERAGEIF('Input Data Daily'!$K$5:$K$369,$A32,'Input Data Daily'!$D$5:$D$369))</f>
        <v/>
      </c>
      <c r="G32" s="45">
        <f t="shared" si="2"/>
        <v>205</v>
      </c>
      <c r="H32" s="43" t="str">
        <f>IF(COUNTIFS('Input Data Daily'!$K$5:$K$369,$A32,'Input Data Daily'!$E$5:$E$369,"&lt;&gt;")=0,"",AVERAGEIF('Input Data Daily'!$K$5:$K$369,$A32,'Input Data Daily'!$E$5:$E$369))</f>
        <v/>
      </c>
      <c r="I32" s="43">
        <f t="shared" si="3"/>
        <v>7.5</v>
      </c>
      <c r="J32" s="43" t="str">
        <f>IF(COUNTIFS('Input Data Daily'!$K$5:$K$369,$A32,'Input Data Daily'!$F$5:$F$369,"&lt;&gt;")=0,"",AVERAGEIF('Input Data Daily'!$K$5:$K$369,$A32,'Input Data Daily'!$F$5:$F$369))</f>
        <v/>
      </c>
      <c r="K32" s="43">
        <f t="shared" si="4"/>
        <v>1.55</v>
      </c>
      <c r="L32" s="43" t="str">
        <f>IF(COUNTIFS('Input Data Daily'!$K$5:$K$369,$A32,'Input Data Daily'!$H$5:$H$369,"&lt;&gt;")=0,"",AVERAGEIF('Input Data Daily'!$K$5:$K$369,$A32,'Input Data Daily'!$H$5:$H$369))</f>
        <v/>
      </c>
      <c r="M32" s="43">
        <f t="shared" si="5"/>
        <v>2.7</v>
      </c>
      <c r="N32" s="47">
        <f>SUMIF('Input Data Daily'!$K$5:$K$369,$A32,'Input Data Daily'!$I$5:$I$369)</f>
        <v>0</v>
      </c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</row>
    <row r="33" spans="1:35" x14ac:dyDescent="0.35">
      <c r="A33" s="39" t="str">
        <f>INDEX('Input Data Daily'!$K$5:$K$369,(ROW()-15)*7+1)</f>
        <v>W19</v>
      </c>
      <c r="B33" s="41" t="str">
        <f>IF(COUNTIFS('Input Data Daily'!$K$5:$K$369,$A33,'Input Data Daily'!$B$5:$B$369,"&lt;&gt;")=0,"",AVERAGEIF('Input Data Daily'!$K$5:$K$369,$A33,'Input Data Daily'!$B$5:$B$369))</f>
        <v/>
      </c>
      <c r="C33" s="41">
        <f t="shared" si="0"/>
        <v>0.93</v>
      </c>
      <c r="D33" s="41" t="str">
        <f>IF(COUNTIFS('Input Data Daily'!$K$5:$K$369,$A33,'Input Data Daily'!$C$5:$C$369,"&lt;&gt;")=0,"",AVERAGEIF('Input Data Daily'!$K$5:$K$369,$A33,'Input Data Daily'!$C$5:$C$369))</f>
        <v/>
      </c>
      <c r="E33" s="41">
        <f t="shared" si="1"/>
        <v>0.88</v>
      </c>
      <c r="F33" s="45" t="str">
        <f>IF(COUNTIFS('Input Data Daily'!$K$5:$K$369,$A33,'Input Data Daily'!$D$5:$D$369,"&lt;&gt;")=0,"",AVERAGEIF('Input Data Daily'!$K$5:$K$369,$A33,'Input Data Daily'!$D$5:$D$369))</f>
        <v/>
      </c>
      <c r="G33" s="45">
        <f t="shared" si="2"/>
        <v>205</v>
      </c>
      <c r="H33" s="43" t="str">
        <f>IF(COUNTIFS('Input Data Daily'!$K$5:$K$369,$A33,'Input Data Daily'!$E$5:$E$369,"&lt;&gt;")=0,"",AVERAGEIF('Input Data Daily'!$K$5:$K$369,$A33,'Input Data Daily'!$E$5:$E$369))</f>
        <v/>
      </c>
      <c r="I33" s="43">
        <f t="shared" si="3"/>
        <v>7.5</v>
      </c>
      <c r="J33" s="43" t="str">
        <f>IF(COUNTIFS('Input Data Daily'!$K$5:$K$369,$A33,'Input Data Daily'!$F$5:$F$369,"&lt;&gt;")=0,"",AVERAGEIF('Input Data Daily'!$K$5:$K$369,$A33,'Input Data Daily'!$F$5:$F$369))</f>
        <v/>
      </c>
      <c r="K33" s="43">
        <f t="shared" si="4"/>
        <v>1.55</v>
      </c>
      <c r="L33" s="43" t="str">
        <f>IF(COUNTIFS('Input Data Daily'!$K$5:$K$369,$A33,'Input Data Daily'!$H$5:$H$369,"&lt;&gt;")=0,"",AVERAGEIF('Input Data Daily'!$K$5:$K$369,$A33,'Input Data Daily'!$H$5:$H$369))</f>
        <v/>
      </c>
      <c r="M33" s="43">
        <f t="shared" si="5"/>
        <v>2.7</v>
      </c>
      <c r="N33" s="47">
        <f>SUMIF('Input Data Daily'!$K$5:$K$369,$A33,'Input Data Daily'!$I$5:$I$369)</f>
        <v>0</v>
      </c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</row>
    <row r="34" spans="1:35" x14ac:dyDescent="0.35">
      <c r="A34" s="39" t="str">
        <f>INDEX('Input Data Daily'!$K$5:$K$369,(ROW()-15)*7+1)</f>
        <v>W20</v>
      </c>
      <c r="B34" s="41" t="str">
        <f>IF(COUNTIFS('Input Data Daily'!$K$5:$K$369,$A34,'Input Data Daily'!$B$5:$B$369,"&lt;&gt;")=0,"",AVERAGEIF('Input Data Daily'!$K$5:$K$369,$A34,'Input Data Daily'!$B$5:$B$369))</f>
        <v/>
      </c>
      <c r="C34" s="41">
        <f t="shared" si="0"/>
        <v>0.93</v>
      </c>
      <c r="D34" s="41" t="str">
        <f>IF(COUNTIFS('Input Data Daily'!$K$5:$K$369,$A34,'Input Data Daily'!$C$5:$C$369,"&lt;&gt;")=0,"",AVERAGEIF('Input Data Daily'!$K$5:$K$369,$A34,'Input Data Daily'!$C$5:$C$369))</f>
        <v/>
      </c>
      <c r="E34" s="41">
        <f t="shared" si="1"/>
        <v>0.88</v>
      </c>
      <c r="F34" s="45" t="str">
        <f>IF(COUNTIFS('Input Data Daily'!$K$5:$K$369,$A34,'Input Data Daily'!$D$5:$D$369,"&lt;&gt;")=0,"",AVERAGEIF('Input Data Daily'!$K$5:$K$369,$A34,'Input Data Daily'!$D$5:$D$369))</f>
        <v/>
      </c>
      <c r="G34" s="45">
        <f t="shared" si="2"/>
        <v>205</v>
      </c>
      <c r="H34" s="43" t="str">
        <f>IF(COUNTIFS('Input Data Daily'!$K$5:$K$369,$A34,'Input Data Daily'!$E$5:$E$369,"&lt;&gt;")=0,"",AVERAGEIF('Input Data Daily'!$K$5:$K$369,$A34,'Input Data Daily'!$E$5:$E$369))</f>
        <v/>
      </c>
      <c r="I34" s="43">
        <f t="shared" si="3"/>
        <v>7.5</v>
      </c>
      <c r="J34" s="43" t="str">
        <f>IF(COUNTIFS('Input Data Daily'!$K$5:$K$369,$A34,'Input Data Daily'!$F$5:$F$369,"&lt;&gt;")=0,"",AVERAGEIF('Input Data Daily'!$K$5:$K$369,$A34,'Input Data Daily'!$F$5:$F$369))</f>
        <v/>
      </c>
      <c r="K34" s="43">
        <f t="shared" si="4"/>
        <v>1.55</v>
      </c>
      <c r="L34" s="43" t="str">
        <f>IF(COUNTIFS('Input Data Daily'!$K$5:$K$369,$A34,'Input Data Daily'!$H$5:$H$369,"&lt;&gt;")=0,"",AVERAGEIF('Input Data Daily'!$K$5:$K$369,$A34,'Input Data Daily'!$H$5:$H$369))</f>
        <v/>
      </c>
      <c r="M34" s="43">
        <f t="shared" si="5"/>
        <v>2.7</v>
      </c>
      <c r="N34" s="47">
        <f>SUMIF('Input Data Daily'!$K$5:$K$369,$A34,'Input Data Daily'!$I$5:$I$369)</f>
        <v>0</v>
      </c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</row>
    <row r="35" spans="1:35" x14ac:dyDescent="0.35">
      <c r="A35" s="39" t="str">
        <f>INDEX('Input Data Daily'!$K$5:$K$369,(ROW()-15)*7+1)</f>
        <v>W21</v>
      </c>
      <c r="B35" s="41" t="str">
        <f>IF(COUNTIFS('Input Data Daily'!$K$5:$K$369,$A35,'Input Data Daily'!$B$5:$B$369,"&lt;&gt;")=0,"",AVERAGEIF('Input Data Daily'!$K$5:$K$369,$A35,'Input Data Daily'!$B$5:$B$369))</f>
        <v/>
      </c>
      <c r="C35" s="41">
        <f t="shared" si="0"/>
        <v>0.93</v>
      </c>
      <c r="D35" s="41" t="str">
        <f>IF(COUNTIFS('Input Data Daily'!$K$5:$K$369,$A35,'Input Data Daily'!$C$5:$C$369,"&lt;&gt;")=0,"",AVERAGEIF('Input Data Daily'!$K$5:$K$369,$A35,'Input Data Daily'!$C$5:$C$369))</f>
        <v/>
      </c>
      <c r="E35" s="41">
        <f t="shared" si="1"/>
        <v>0.88</v>
      </c>
      <c r="F35" s="45" t="str">
        <f>IF(COUNTIFS('Input Data Daily'!$K$5:$K$369,$A35,'Input Data Daily'!$D$5:$D$369,"&lt;&gt;")=0,"",AVERAGEIF('Input Data Daily'!$K$5:$K$369,$A35,'Input Data Daily'!$D$5:$D$369))</f>
        <v/>
      </c>
      <c r="G35" s="45">
        <f t="shared" si="2"/>
        <v>205</v>
      </c>
      <c r="H35" s="43" t="str">
        <f>IF(COUNTIFS('Input Data Daily'!$K$5:$K$369,$A35,'Input Data Daily'!$E$5:$E$369,"&lt;&gt;")=0,"",AVERAGEIF('Input Data Daily'!$K$5:$K$369,$A35,'Input Data Daily'!$E$5:$E$369))</f>
        <v/>
      </c>
      <c r="I35" s="43">
        <f t="shared" si="3"/>
        <v>7.5</v>
      </c>
      <c r="J35" s="43" t="str">
        <f>IF(COUNTIFS('Input Data Daily'!$K$5:$K$369,$A35,'Input Data Daily'!$F$5:$F$369,"&lt;&gt;")=0,"",AVERAGEIF('Input Data Daily'!$K$5:$K$369,$A35,'Input Data Daily'!$F$5:$F$369))</f>
        <v/>
      </c>
      <c r="K35" s="43">
        <f t="shared" si="4"/>
        <v>1.55</v>
      </c>
      <c r="L35" s="43" t="str">
        <f>IF(COUNTIFS('Input Data Daily'!$K$5:$K$369,$A35,'Input Data Daily'!$H$5:$H$369,"&lt;&gt;")=0,"",AVERAGEIF('Input Data Daily'!$K$5:$K$369,$A35,'Input Data Daily'!$H$5:$H$369))</f>
        <v/>
      </c>
      <c r="M35" s="43">
        <f t="shared" si="5"/>
        <v>2.7</v>
      </c>
      <c r="N35" s="47">
        <f>SUMIF('Input Data Daily'!$K$5:$K$369,$A35,'Input Data Daily'!$I$5:$I$369)</f>
        <v>0</v>
      </c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</row>
    <row r="36" spans="1:35" x14ac:dyDescent="0.35">
      <c r="A36" s="39" t="str">
        <f>INDEX('Input Data Daily'!$K$5:$K$369,(ROW()-15)*7+1)</f>
        <v>W22</v>
      </c>
      <c r="B36" s="41" t="str">
        <f>IF(COUNTIFS('Input Data Daily'!$K$5:$K$369,$A36,'Input Data Daily'!$B$5:$B$369,"&lt;&gt;")=0,"",AVERAGEIF('Input Data Daily'!$K$5:$K$369,$A36,'Input Data Daily'!$B$5:$B$369))</f>
        <v/>
      </c>
      <c r="C36" s="41">
        <f t="shared" si="0"/>
        <v>0.93</v>
      </c>
      <c r="D36" s="41" t="str">
        <f>IF(COUNTIFS('Input Data Daily'!$K$5:$K$369,$A36,'Input Data Daily'!$C$5:$C$369,"&lt;&gt;")=0,"",AVERAGEIF('Input Data Daily'!$K$5:$K$369,$A36,'Input Data Daily'!$C$5:$C$369))</f>
        <v/>
      </c>
      <c r="E36" s="41">
        <f t="shared" si="1"/>
        <v>0.88</v>
      </c>
      <c r="F36" s="45" t="str">
        <f>IF(COUNTIFS('Input Data Daily'!$K$5:$K$369,$A36,'Input Data Daily'!$D$5:$D$369,"&lt;&gt;")=0,"",AVERAGEIF('Input Data Daily'!$K$5:$K$369,$A36,'Input Data Daily'!$D$5:$D$369))</f>
        <v/>
      </c>
      <c r="G36" s="45">
        <f t="shared" si="2"/>
        <v>205</v>
      </c>
      <c r="H36" s="43" t="str">
        <f>IF(COUNTIFS('Input Data Daily'!$K$5:$K$369,$A36,'Input Data Daily'!$E$5:$E$369,"&lt;&gt;")=0,"",AVERAGEIF('Input Data Daily'!$K$5:$K$369,$A36,'Input Data Daily'!$E$5:$E$369))</f>
        <v/>
      </c>
      <c r="I36" s="43">
        <f t="shared" si="3"/>
        <v>7.5</v>
      </c>
      <c r="J36" s="43" t="str">
        <f>IF(COUNTIFS('Input Data Daily'!$K$5:$K$369,$A36,'Input Data Daily'!$F$5:$F$369,"&lt;&gt;")=0,"",AVERAGEIF('Input Data Daily'!$K$5:$K$369,$A36,'Input Data Daily'!$F$5:$F$369))</f>
        <v/>
      </c>
      <c r="K36" s="43">
        <f t="shared" si="4"/>
        <v>1.55</v>
      </c>
      <c r="L36" s="43" t="str">
        <f>IF(COUNTIFS('Input Data Daily'!$K$5:$K$369,$A36,'Input Data Daily'!$H$5:$H$369,"&lt;&gt;")=0,"",AVERAGEIF('Input Data Daily'!$K$5:$K$369,$A36,'Input Data Daily'!$H$5:$H$369))</f>
        <v/>
      </c>
      <c r="M36" s="43">
        <f t="shared" si="5"/>
        <v>2.7</v>
      </c>
      <c r="N36" s="47">
        <f>SUMIF('Input Data Daily'!$K$5:$K$369,$A36,'Input Data Daily'!$I$5:$I$369)</f>
        <v>0</v>
      </c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</row>
    <row r="37" spans="1:35" x14ac:dyDescent="0.35">
      <c r="A37" s="39" t="str">
        <f>INDEX('Input Data Daily'!$K$5:$K$369,(ROW()-15)*7+1)</f>
        <v>W23</v>
      </c>
      <c r="B37" s="41" t="str">
        <f>IF(COUNTIFS('Input Data Daily'!$K$5:$K$369,$A37,'Input Data Daily'!$B$5:$B$369,"&lt;&gt;")=0,"",AVERAGEIF('Input Data Daily'!$K$5:$K$369,$A37,'Input Data Daily'!$B$5:$B$369))</f>
        <v/>
      </c>
      <c r="C37" s="41">
        <f t="shared" si="0"/>
        <v>0.93</v>
      </c>
      <c r="D37" s="41" t="str">
        <f>IF(COUNTIFS('Input Data Daily'!$K$5:$K$369,$A37,'Input Data Daily'!$C$5:$C$369,"&lt;&gt;")=0,"",AVERAGEIF('Input Data Daily'!$K$5:$K$369,$A37,'Input Data Daily'!$C$5:$C$369))</f>
        <v/>
      </c>
      <c r="E37" s="41">
        <f t="shared" si="1"/>
        <v>0.88</v>
      </c>
      <c r="F37" s="45" t="str">
        <f>IF(COUNTIFS('Input Data Daily'!$K$5:$K$369,$A37,'Input Data Daily'!$D$5:$D$369,"&lt;&gt;")=0,"",AVERAGEIF('Input Data Daily'!$K$5:$K$369,$A37,'Input Data Daily'!$D$5:$D$369))</f>
        <v/>
      </c>
      <c r="G37" s="45">
        <f t="shared" si="2"/>
        <v>205</v>
      </c>
      <c r="H37" s="43" t="str">
        <f>IF(COUNTIFS('Input Data Daily'!$K$5:$K$369,$A37,'Input Data Daily'!$E$5:$E$369,"&lt;&gt;")=0,"",AVERAGEIF('Input Data Daily'!$K$5:$K$369,$A37,'Input Data Daily'!$E$5:$E$369))</f>
        <v/>
      </c>
      <c r="I37" s="43">
        <f t="shared" si="3"/>
        <v>7.5</v>
      </c>
      <c r="J37" s="43" t="str">
        <f>IF(COUNTIFS('Input Data Daily'!$K$5:$K$369,$A37,'Input Data Daily'!$F$5:$F$369,"&lt;&gt;")=0,"",AVERAGEIF('Input Data Daily'!$K$5:$K$369,$A37,'Input Data Daily'!$F$5:$F$369))</f>
        <v/>
      </c>
      <c r="K37" s="43">
        <f t="shared" si="4"/>
        <v>1.55</v>
      </c>
      <c r="L37" s="43" t="str">
        <f>IF(COUNTIFS('Input Data Daily'!$K$5:$K$369,$A37,'Input Data Daily'!$H$5:$H$369,"&lt;&gt;")=0,"",AVERAGEIF('Input Data Daily'!$K$5:$K$369,$A37,'Input Data Daily'!$H$5:$H$369))</f>
        <v/>
      </c>
      <c r="M37" s="43">
        <f t="shared" si="5"/>
        <v>2.7</v>
      </c>
      <c r="N37" s="47">
        <f>SUMIF('Input Data Daily'!$K$5:$K$369,$A37,'Input Data Daily'!$I$5:$I$369)</f>
        <v>0</v>
      </c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</row>
    <row r="38" spans="1:35" x14ac:dyDescent="0.35">
      <c r="A38" s="39" t="str">
        <f>INDEX('Input Data Daily'!$K$5:$K$369,(ROW()-15)*7+1)</f>
        <v>W24</v>
      </c>
      <c r="B38" s="41" t="str">
        <f>IF(COUNTIFS('Input Data Daily'!$K$5:$K$369,$A38,'Input Data Daily'!$B$5:$B$369,"&lt;&gt;")=0,"",AVERAGEIF('Input Data Daily'!$K$5:$K$369,$A38,'Input Data Daily'!$B$5:$B$369))</f>
        <v/>
      </c>
      <c r="C38" s="41">
        <f t="shared" si="0"/>
        <v>0.93</v>
      </c>
      <c r="D38" s="41" t="str">
        <f>IF(COUNTIFS('Input Data Daily'!$K$5:$K$369,$A38,'Input Data Daily'!$C$5:$C$369,"&lt;&gt;")=0,"",AVERAGEIF('Input Data Daily'!$K$5:$K$369,$A38,'Input Data Daily'!$C$5:$C$369))</f>
        <v/>
      </c>
      <c r="E38" s="41">
        <f t="shared" si="1"/>
        <v>0.88</v>
      </c>
      <c r="F38" s="45" t="str">
        <f>IF(COUNTIFS('Input Data Daily'!$K$5:$K$369,$A38,'Input Data Daily'!$D$5:$D$369,"&lt;&gt;")=0,"",AVERAGEIF('Input Data Daily'!$K$5:$K$369,$A38,'Input Data Daily'!$D$5:$D$369))</f>
        <v/>
      </c>
      <c r="G38" s="45">
        <f t="shared" si="2"/>
        <v>205</v>
      </c>
      <c r="H38" s="43" t="str">
        <f>IF(COUNTIFS('Input Data Daily'!$K$5:$K$369,$A38,'Input Data Daily'!$E$5:$E$369,"&lt;&gt;")=0,"",AVERAGEIF('Input Data Daily'!$K$5:$K$369,$A38,'Input Data Daily'!$E$5:$E$369))</f>
        <v/>
      </c>
      <c r="I38" s="43">
        <f t="shared" si="3"/>
        <v>7.5</v>
      </c>
      <c r="J38" s="43" t="str">
        <f>IF(COUNTIFS('Input Data Daily'!$K$5:$K$369,$A38,'Input Data Daily'!$F$5:$F$369,"&lt;&gt;")=0,"",AVERAGEIF('Input Data Daily'!$K$5:$K$369,$A38,'Input Data Daily'!$F$5:$F$369))</f>
        <v/>
      </c>
      <c r="K38" s="43">
        <f t="shared" si="4"/>
        <v>1.55</v>
      </c>
      <c r="L38" s="43" t="str">
        <f>IF(COUNTIFS('Input Data Daily'!$K$5:$K$369,$A38,'Input Data Daily'!$H$5:$H$369,"&lt;&gt;")=0,"",AVERAGEIF('Input Data Daily'!$K$5:$K$369,$A38,'Input Data Daily'!$H$5:$H$369))</f>
        <v/>
      </c>
      <c r="M38" s="43">
        <f t="shared" si="5"/>
        <v>2.7</v>
      </c>
      <c r="N38" s="47">
        <f>SUMIF('Input Data Daily'!$K$5:$K$369,$A38,'Input Data Daily'!$I$5:$I$369)</f>
        <v>0</v>
      </c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</row>
    <row r="39" spans="1:35" x14ac:dyDescent="0.35">
      <c r="A39" s="39" t="str">
        <f>INDEX('Input Data Daily'!$K$5:$K$369,(ROW()-15)*7+1)</f>
        <v>W25</v>
      </c>
      <c r="B39" s="41" t="str">
        <f>IF(COUNTIFS('Input Data Daily'!$K$5:$K$369,$A39,'Input Data Daily'!$B$5:$B$369,"&lt;&gt;")=0,"",AVERAGEIF('Input Data Daily'!$K$5:$K$369,$A39,'Input Data Daily'!$B$5:$B$369))</f>
        <v/>
      </c>
      <c r="C39" s="41">
        <f t="shared" si="0"/>
        <v>0.93</v>
      </c>
      <c r="D39" s="41" t="str">
        <f>IF(COUNTIFS('Input Data Daily'!$K$5:$K$369,$A39,'Input Data Daily'!$C$5:$C$369,"&lt;&gt;")=0,"",AVERAGEIF('Input Data Daily'!$K$5:$K$369,$A39,'Input Data Daily'!$C$5:$C$369))</f>
        <v/>
      </c>
      <c r="E39" s="41">
        <f t="shared" si="1"/>
        <v>0.88</v>
      </c>
      <c r="F39" s="45" t="str">
        <f>IF(COUNTIFS('Input Data Daily'!$K$5:$K$369,$A39,'Input Data Daily'!$D$5:$D$369,"&lt;&gt;")=0,"",AVERAGEIF('Input Data Daily'!$K$5:$K$369,$A39,'Input Data Daily'!$D$5:$D$369))</f>
        <v/>
      </c>
      <c r="G39" s="45">
        <f t="shared" si="2"/>
        <v>205</v>
      </c>
      <c r="H39" s="43" t="str">
        <f>IF(COUNTIFS('Input Data Daily'!$K$5:$K$369,$A39,'Input Data Daily'!$E$5:$E$369,"&lt;&gt;")=0,"",AVERAGEIF('Input Data Daily'!$K$5:$K$369,$A39,'Input Data Daily'!$E$5:$E$369))</f>
        <v/>
      </c>
      <c r="I39" s="43">
        <f t="shared" si="3"/>
        <v>7.5</v>
      </c>
      <c r="J39" s="43" t="str">
        <f>IF(COUNTIFS('Input Data Daily'!$K$5:$K$369,$A39,'Input Data Daily'!$F$5:$F$369,"&lt;&gt;")=0,"",AVERAGEIF('Input Data Daily'!$K$5:$K$369,$A39,'Input Data Daily'!$F$5:$F$369))</f>
        <v/>
      </c>
      <c r="K39" s="43">
        <f t="shared" si="4"/>
        <v>1.55</v>
      </c>
      <c r="L39" s="43" t="str">
        <f>IF(COUNTIFS('Input Data Daily'!$K$5:$K$369,$A39,'Input Data Daily'!$H$5:$H$369,"&lt;&gt;")=0,"",AVERAGEIF('Input Data Daily'!$K$5:$K$369,$A39,'Input Data Daily'!$H$5:$H$369))</f>
        <v/>
      </c>
      <c r="M39" s="43">
        <f t="shared" si="5"/>
        <v>2.7</v>
      </c>
      <c r="N39" s="47">
        <f>SUMIF('Input Data Daily'!$K$5:$K$369,$A39,'Input Data Daily'!$I$5:$I$369)</f>
        <v>0</v>
      </c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</row>
    <row r="40" spans="1:35" x14ac:dyDescent="0.35">
      <c r="A40" s="39" t="str">
        <f>INDEX('Input Data Daily'!$K$5:$K$369,(ROW()-15)*7+1)</f>
        <v>W26</v>
      </c>
      <c r="B40" s="41" t="str">
        <f>IF(COUNTIFS('Input Data Daily'!$K$5:$K$369,$A40,'Input Data Daily'!$B$5:$B$369,"&lt;&gt;")=0,"",AVERAGEIF('Input Data Daily'!$K$5:$K$369,$A40,'Input Data Daily'!$B$5:$B$369))</f>
        <v/>
      </c>
      <c r="C40" s="41">
        <f t="shared" si="0"/>
        <v>0.93</v>
      </c>
      <c r="D40" s="41" t="str">
        <f>IF(COUNTIFS('Input Data Daily'!$K$5:$K$369,$A40,'Input Data Daily'!$C$5:$C$369,"&lt;&gt;")=0,"",AVERAGEIF('Input Data Daily'!$K$5:$K$369,$A40,'Input Data Daily'!$C$5:$C$369))</f>
        <v/>
      </c>
      <c r="E40" s="41">
        <f t="shared" si="1"/>
        <v>0.88</v>
      </c>
      <c r="F40" s="45" t="str">
        <f>IF(COUNTIFS('Input Data Daily'!$K$5:$K$369,$A40,'Input Data Daily'!$D$5:$D$369,"&lt;&gt;")=0,"",AVERAGEIF('Input Data Daily'!$K$5:$K$369,$A40,'Input Data Daily'!$D$5:$D$369))</f>
        <v/>
      </c>
      <c r="G40" s="45">
        <f t="shared" si="2"/>
        <v>205</v>
      </c>
      <c r="H40" s="43" t="str">
        <f>IF(COUNTIFS('Input Data Daily'!$K$5:$K$369,$A40,'Input Data Daily'!$E$5:$E$369,"&lt;&gt;")=0,"",AVERAGEIF('Input Data Daily'!$K$5:$K$369,$A40,'Input Data Daily'!$E$5:$E$369))</f>
        <v/>
      </c>
      <c r="I40" s="43">
        <f t="shared" si="3"/>
        <v>7.5</v>
      </c>
      <c r="J40" s="43" t="str">
        <f>IF(COUNTIFS('Input Data Daily'!$K$5:$K$369,$A40,'Input Data Daily'!$F$5:$F$369,"&lt;&gt;")=0,"",AVERAGEIF('Input Data Daily'!$K$5:$K$369,$A40,'Input Data Daily'!$F$5:$F$369))</f>
        <v/>
      </c>
      <c r="K40" s="43">
        <f t="shared" si="4"/>
        <v>1.55</v>
      </c>
      <c r="L40" s="43" t="str">
        <f>IF(COUNTIFS('Input Data Daily'!$K$5:$K$369,$A40,'Input Data Daily'!$H$5:$H$369,"&lt;&gt;")=0,"",AVERAGEIF('Input Data Daily'!$K$5:$K$369,$A40,'Input Data Daily'!$H$5:$H$369))</f>
        <v/>
      </c>
      <c r="M40" s="43">
        <f t="shared" si="5"/>
        <v>2.7</v>
      </c>
      <c r="N40" s="47">
        <f>SUMIF('Input Data Daily'!$K$5:$K$369,$A40,'Input Data Daily'!$I$5:$I$369)</f>
        <v>0</v>
      </c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</row>
    <row r="41" spans="1:35" x14ac:dyDescent="0.35">
      <c r="A41" s="39" t="str">
        <f>INDEX('Input Data Daily'!$K$5:$K$369,(ROW()-15)*7+1)</f>
        <v>W27</v>
      </c>
      <c r="B41" s="41" t="str">
        <f>IF(COUNTIFS('Input Data Daily'!$K$5:$K$369,$A41,'Input Data Daily'!$B$5:$B$369,"&lt;&gt;")=0,"",AVERAGEIF('Input Data Daily'!$K$5:$K$369,$A41,'Input Data Daily'!$B$5:$B$369))</f>
        <v/>
      </c>
      <c r="C41" s="41">
        <f t="shared" si="0"/>
        <v>0.93</v>
      </c>
      <c r="D41" s="41" t="str">
        <f>IF(COUNTIFS('Input Data Daily'!$K$5:$K$369,$A41,'Input Data Daily'!$C$5:$C$369,"&lt;&gt;")=0,"",AVERAGEIF('Input Data Daily'!$K$5:$K$369,$A41,'Input Data Daily'!$C$5:$C$369))</f>
        <v/>
      </c>
      <c r="E41" s="41">
        <f t="shared" si="1"/>
        <v>0.88</v>
      </c>
      <c r="F41" s="45" t="str">
        <f>IF(COUNTIFS('Input Data Daily'!$K$5:$K$369,$A41,'Input Data Daily'!$D$5:$D$369,"&lt;&gt;")=0,"",AVERAGEIF('Input Data Daily'!$K$5:$K$369,$A41,'Input Data Daily'!$D$5:$D$369))</f>
        <v/>
      </c>
      <c r="G41" s="45">
        <f t="shared" si="2"/>
        <v>205</v>
      </c>
      <c r="H41" s="43" t="str">
        <f>IF(COUNTIFS('Input Data Daily'!$K$5:$K$369,$A41,'Input Data Daily'!$E$5:$E$369,"&lt;&gt;")=0,"",AVERAGEIF('Input Data Daily'!$K$5:$K$369,$A41,'Input Data Daily'!$E$5:$E$369))</f>
        <v/>
      </c>
      <c r="I41" s="43">
        <f t="shared" si="3"/>
        <v>7.5</v>
      </c>
      <c r="J41" s="43" t="str">
        <f>IF(COUNTIFS('Input Data Daily'!$K$5:$K$369,$A41,'Input Data Daily'!$F$5:$F$369,"&lt;&gt;")=0,"",AVERAGEIF('Input Data Daily'!$K$5:$K$369,$A41,'Input Data Daily'!$F$5:$F$369))</f>
        <v/>
      </c>
      <c r="K41" s="43">
        <f t="shared" si="4"/>
        <v>1.55</v>
      </c>
      <c r="L41" s="43" t="str">
        <f>IF(COUNTIFS('Input Data Daily'!$K$5:$K$369,$A41,'Input Data Daily'!$H$5:$H$369,"&lt;&gt;")=0,"",AVERAGEIF('Input Data Daily'!$K$5:$K$369,$A41,'Input Data Daily'!$H$5:$H$369))</f>
        <v/>
      </c>
      <c r="M41" s="43">
        <f t="shared" si="5"/>
        <v>2.7</v>
      </c>
      <c r="N41" s="47">
        <f>SUMIF('Input Data Daily'!$K$5:$K$369,$A41,'Input Data Daily'!$I$5:$I$369)</f>
        <v>0</v>
      </c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</row>
    <row r="42" spans="1:35" x14ac:dyDescent="0.35">
      <c r="A42" s="39" t="str">
        <f>INDEX('Input Data Daily'!$K$5:$K$369,(ROW()-15)*7+1)</f>
        <v>W28</v>
      </c>
      <c r="B42" s="41" t="str">
        <f>IF(COUNTIFS('Input Data Daily'!$K$5:$K$369,$A42,'Input Data Daily'!$B$5:$B$369,"&lt;&gt;")=0,"",AVERAGEIF('Input Data Daily'!$K$5:$K$369,$A42,'Input Data Daily'!$B$5:$B$369))</f>
        <v/>
      </c>
      <c r="C42" s="41">
        <f t="shared" si="0"/>
        <v>0.93</v>
      </c>
      <c r="D42" s="41" t="str">
        <f>IF(COUNTIFS('Input Data Daily'!$K$5:$K$369,$A42,'Input Data Daily'!$C$5:$C$369,"&lt;&gt;")=0,"",AVERAGEIF('Input Data Daily'!$K$5:$K$369,$A42,'Input Data Daily'!$C$5:$C$369))</f>
        <v/>
      </c>
      <c r="E42" s="41">
        <f t="shared" si="1"/>
        <v>0.88</v>
      </c>
      <c r="F42" s="45" t="str">
        <f>IF(COUNTIFS('Input Data Daily'!$K$5:$K$369,$A42,'Input Data Daily'!$D$5:$D$369,"&lt;&gt;")=0,"",AVERAGEIF('Input Data Daily'!$K$5:$K$369,$A42,'Input Data Daily'!$D$5:$D$369))</f>
        <v/>
      </c>
      <c r="G42" s="45">
        <f t="shared" si="2"/>
        <v>205</v>
      </c>
      <c r="H42" s="43" t="str">
        <f>IF(COUNTIFS('Input Data Daily'!$K$5:$K$369,$A42,'Input Data Daily'!$E$5:$E$369,"&lt;&gt;")=0,"",AVERAGEIF('Input Data Daily'!$K$5:$K$369,$A42,'Input Data Daily'!$E$5:$E$369))</f>
        <v/>
      </c>
      <c r="I42" s="43">
        <f t="shared" si="3"/>
        <v>7.5</v>
      </c>
      <c r="J42" s="43" t="str">
        <f>IF(COUNTIFS('Input Data Daily'!$K$5:$K$369,$A42,'Input Data Daily'!$F$5:$F$369,"&lt;&gt;")=0,"",AVERAGEIF('Input Data Daily'!$K$5:$K$369,$A42,'Input Data Daily'!$F$5:$F$369))</f>
        <v/>
      </c>
      <c r="K42" s="43">
        <f t="shared" si="4"/>
        <v>1.55</v>
      </c>
      <c r="L42" s="43" t="str">
        <f>IF(COUNTIFS('Input Data Daily'!$K$5:$K$369,$A42,'Input Data Daily'!$H$5:$H$369,"&lt;&gt;")=0,"",AVERAGEIF('Input Data Daily'!$K$5:$K$369,$A42,'Input Data Daily'!$H$5:$H$369))</f>
        <v/>
      </c>
      <c r="M42" s="43">
        <f t="shared" si="5"/>
        <v>2.7</v>
      </c>
      <c r="N42" s="47">
        <f>SUMIF('Input Data Daily'!$K$5:$K$369,$A42,'Input Data Daily'!$I$5:$I$369)</f>
        <v>0</v>
      </c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</row>
    <row r="43" spans="1:35" x14ac:dyDescent="0.35">
      <c r="A43" s="39" t="str">
        <f>INDEX('Input Data Daily'!$K$5:$K$369,(ROW()-15)*7+1)</f>
        <v>W29</v>
      </c>
      <c r="B43" s="41" t="str">
        <f>IF(COUNTIFS('Input Data Daily'!$K$5:$K$369,$A43,'Input Data Daily'!$B$5:$B$369,"&lt;&gt;")=0,"",AVERAGEIF('Input Data Daily'!$K$5:$K$369,$A43,'Input Data Daily'!$B$5:$B$369))</f>
        <v/>
      </c>
      <c r="C43" s="41">
        <f t="shared" si="0"/>
        <v>0.93</v>
      </c>
      <c r="D43" s="41" t="str">
        <f>IF(COUNTIFS('Input Data Daily'!$K$5:$K$369,$A43,'Input Data Daily'!$C$5:$C$369,"&lt;&gt;")=0,"",AVERAGEIF('Input Data Daily'!$K$5:$K$369,$A43,'Input Data Daily'!$C$5:$C$369))</f>
        <v/>
      </c>
      <c r="E43" s="41">
        <f t="shared" si="1"/>
        <v>0.88</v>
      </c>
      <c r="F43" s="45" t="str">
        <f>IF(COUNTIFS('Input Data Daily'!$K$5:$K$369,$A43,'Input Data Daily'!$D$5:$D$369,"&lt;&gt;")=0,"",AVERAGEIF('Input Data Daily'!$K$5:$K$369,$A43,'Input Data Daily'!$D$5:$D$369))</f>
        <v/>
      </c>
      <c r="G43" s="45">
        <f t="shared" si="2"/>
        <v>205</v>
      </c>
      <c r="H43" s="43" t="str">
        <f>IF(COUNTIFS('Input Data Daily'!$K$5:$K$369,$A43,'Input Data Daily'!$E$5:$E$369,"&lt;&gt;")=0,"",AVERAGEIF('Input Data Daily'!$K$5:$K$369,$A43,'Input Data Daily'!$E$5:$E$369))</f>
        <v/>
      </c>
      <c r="I43" s="43">
        <f t="shared" si="3"/>
        <v>7.5</v>
      </c>
      <c r="J43" s="43" t="str">
        <f>IF(COUNTIFS('Input Data Daily'!$K$5:$K$369,$A43,'Input Data Daily'!$F$5:$F$369,"&lt;&gt;")=0,"",AVERAGEIF('Input Data Daily'!$K$5:$K$369,$A43,'Input Data Daily'!$F$5:$F$369))</f>
        <v/>
      </c>
      <c r="K43" s="43">
        <f t="shared" si="4"/>
        <v>1.55</v>
      </c>
      <c r="L43" s="43" t="str">
        <f>IF(COUNTIFS('Input Data Daily'!$K$5:$K$369,$A43,'Input Data Daily'!$H$5:$H$369,"&lt;&gt;")=0,"",AVERAGEIF('Input Data Daily'!$K$5:$K$369,$A43,'Input Data Daily'!$H$5:$H$369))</f>
        <v/>
      </c>
      <c r="M43" s="43">
        <f t="shared" si="5"/>
        <v>2.7</v>
      </c>
      <c r="N43" s="47">
        <f>SUMIF('Input Data Daily'!$K$5:$K$369,$A43,'Input Data Daily'!$I$5:$I$369)</f>
        <v>0</v>
      </c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</row>
    <row r="44" spans="1:35" x14ac:dyDescent="0.35">
      <c r="A44" s="39" t="str">
        <f>INDEX('Input Data Daily'!$K$5:$K$369,(ROW()-15)*7+1)</f>
        <v>W30</v>
      </c>
      <c r="B44" s="41" t="str">
        <f>IF(COUNTIFS('Input Data Daily'!$K$5:$K$369,$A44,'Input Data Daily'!$B$5:$B$369,"&lt;&gt;")=0,"",AVERAGEIF('Input Data Daily'!$K$5:$K$369,$A44,'Input Data Daily'!$B$5:$B$369))</f>
        <v/>
      </c>
      <c r="C44" s="41">
        <f t="shared" si="0"/>
        <v>0.93</v>
      </c>
      <c r="D44" s="41" t="str">
        <f>IF(COUNTIFS('Input Data Daily'!$K$5:$K$369,$A44,'Input Data Daily'!$C$5:$C$369,"&lt;&gt;")=0,"",AVERAGEIF('Input Data Daily'!$K$5:$K$369,$A44,'Input Data Daily'!$C$5:$C$369))</f>
        <v/>
      </c>
      <c r="E44" s="41">
        <f t="shared" si="1"/>
        <v>0.88</v>
      </c>
      <c r="F44" s="45" t="str">
        <f>IF(COUNTIFS('Input Data Daily'!$K$5:$K$369,$A44,'Input Data Daily'!$D$5:$D$369,"&lt;&gt;")=0,"",AVERAGEIF('Input Data Daily'!$K$5:$K$369,$A44,'Input Data Daily'!$D$5:$D$369))</f>
        <v/>
      </c>
      <c r="G44" s="45">
        <f t="shared" si="2"/>
        <v>205</v>
      </c>
      <c r="H44" s="43" t="str">
        <f>IF(COUNTIFS('Input Data Daily'!$K$5:$K$369,$A44,'Input Data Daily'!$E$5:$E$369,"&lt;&gt;")=0,"",AVERAGEIF('Input Data Daily'!$K$5:$K$369,$A44,'Input Data Daily'!$E$5:$E$369))</f>
        <v/>
      </c>
      <c r="I44" s="43">
        <f t="shared" si="3"/>
        <v>7.5</v>
      </c>
      <c r="J44" s="43" t="str">
        <f>IF(COUNTIFS('Input Data Daily'!$K$5:$K$369,$A44,'Input Data Daily'!$F$5:$F$369,"&lt;&gt;")=0,"",AVERAGEIF('Input Data Daily'!$K$5:$K$369,$A44,'Input Data Daily'!$F$5:$F$369))</f>
        <v/>
      </c>
      <c r="K44" s="43">
        <f t="shared" si="4"/>
        <v>1.55</v>
      </c>
      <c r="L44" s="43" t="str">
        <f>IF(COUNTIFS('Input Data Daily'!$K$5:$K$369,$A44,'Input Data Daily'!$H$5:$H$369,"&lt;&gt;")=0,"",AVERAGEIF('Input Data Daily'!$K$5:$K$369,$A44,'Input Data Daily'!$H$5:$H$369))</f>
        <v/>
      </c>
      <c r="M44" s="43">
        <f t="shared" si="5"/>
        <v>2.7</v>
      </c>
      <c r="N44" s="47">
        <f>SUMIF('Input Data Daily'!$K$5:$K$369,$A44,'Input Data Daily'!$I$5:$I$369)</f>
        <v>0</v>
      </c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</row>
    <row r="45" spans="1:35" x14ac:dyDescent="0.35">
      <c r="A45" s="39" t="str">
        <f>INDEX('Input Data Daily'!$K$5:$K$369,(ROW()-15)*7+1)</f>
        <v>W31</v>
      </c>
      <c r="B45" s="41">
        <f>IF(COUNTIFS('Input Data Daily'!$K$5:$K$369,$A45,'Input Data Daily'!$B$5:$B$369,"&lt;&gt;")=0,"",AVERAGEIF('Input Data Daily'!$K$5:$K$369,$A45,'Input Data Daily'!$B$5:$B$369))</f>
        <v>0.98084000000000005</v>
      </c>
      <c r="C45" s="41">
        <f t="shared" si="0"/>
        <v>0.93</v>
      </c>
      <c r="D45" s="41">
        <f>IF(COUNTIFS('Input Data Daily'!$K$5:$K$369,$A45,'Input Data Daily'!$C$5:$C$369,"&lt;&gt;")=0,"",AVERAGEIF('Input Data Daily'!$K$5:$K$369,$A45,'Input Data Daily'!$C$5:$C$369))</f>
        <v>0.49427333722563283</v>
      </c>
      <c r="E45" s="41">
        <f t="shared" si="1"/>
        <v>0.88</v>
      </c>
      <c r="F45" s="45">
        <f>IF(COUNTIFS('Input Data Daily'!$K$5:$K$369,$A45,'Input Data Daily'!$D$5:$D$369,"&lt;&gt;")=0,"",AVERAGEIF('Input Data Daily'!$K$5:$K$369,$A45,'Input Data Daily'!$D$5:$D$369))</f>
        <v>207.15492540792542</v>
      </c>
      <c r="G45" s="45">
        <f t="shared" si="2"/>
        <v>205</v>
      </c>
      <c r="H45" s="43">
        <f>IF(COUNTIFS('Input Data Daily'!$K$5:$K$369,$A45,'Input Data Daily'!$E$5:$E$369,"&lt;&gt;")=0,"",AVERAGEIF('Input Data Daily'!$K$5:$K$369,$A45,'Input Data Daily'!$E$5:$E$369))</f>
        <v>11.296762774658461</v>
      </c>
      <c r="I45" s="43">
        <f t="shared" si="3"/>
        <v>7.5</v>
      </c>
      <c r="J45" s="43">
        <f>IF(COUNTIFS('Input Data Daily'!$K$5:$K$369,$A45,'Input Data Daily'!$F$5:$F$369,"&lt;&gt;")=0,"",AVERAGEIF('Input Data Daily'!$K$5:$K$369,$A45,'Input Data Daily'!$F$5:$F$369))</f>
        <v>1.7917364976551728</v>
      </c>
      <c r="K45" s="43">
        <f t="shared" si="4"/>
        <v>1.55</v>
      </c>
      <c r="L45" s="43">
        <f>IF(COUNTIFS('Input Data Daily'!$K$5:$K$369,$A45,'Input Data Daily'!$H$5:$H$369,"&lt;&gt;")=0,"",AVERAGEIF('Input Data Daily'!$K$5:$K$369,$A45,'Input Data Daily'!$H$5:$H$369))</f>
        <v>1.0309523809523808</v>
      </c>
      <c r="M45" s="43">
        <f t="shared" si="5"/>
        <v>2.7</v>
      </c>
      <c r="N45" s="47">
        <f>SUMIF('Input Data Daily'!$K$5:$K$369,$A45,'Input Data Daily'!$I$5:$I$369)</f>
        <v>13214.550000000001</v>
      </c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</row>
    <row r="46" spans="1:35" x14ac:dyDescent="0.35">
      <c r="A46" s="39" t="str">
        <f>INDEX('Input Data Daily'!$K$5:$K$369,(ROW()-15)*7+1)</f>
        <v>W32</v>
      </c>
      <c r="B46" s="41">
        <f>IF(COUNTIFS('Input Data Daily'!$K$5:$K$369,$A46,'Input Data Daily'!$B$5:$B$369,"&lt;&gt;")=0,"",AVERAGEIF('Input Data Daily'!$K$5:$K$369,$A46,'Input Data Daily'!$B$5:$B$369))</f>
        <v>0.97647142857142855</v>
      </c>
      <c r="C46" s="41">
        <f t="shared" si="0"/>
        <v>0.93</v>
      </c>
      <c r="D46" s="41">
        <f>IF(COUNTIFS('Input Data Daily'!$K$5:$K$369,$A46,'Input Data Daily'!$C$5:$C$369,"&lt;&gt;")=0,"",AVERAGEIF('Input Data Daily'!$K$5:$K$369,$A46,'Input Data Daily'!$C$5:$C$369))</f>
        <v>0.51370786013774805</v>
      </c>
      <c r="E46" s="41">
        <f t="shared" si="1"/>
        <v>0.88</v>
      </c>
      <c r="F46" s="45">
        <f>IF(COUNTIFS('Input Data Daily'!$K$5:$K$369,$A46,'Input Data Daily'!$D$5:$D$369,"&lt;&gt;")=0,"",AVERAGEIF('Input Data Daily'!$K$5:$K$369,$A46,'Input Data Daily'!$D$5:$D$369))</f>
        <v>201.82161755491668</v>
      </c>
      <c r="G46" s="45">
        <f t="shared" si="2"/>
        <v>205</v>
      </c>
      <c r="H46" s="43">
        <f>IF(COUNTIFS('Input Data Daily'!$K$5:$K$369,$A46,'Input Data Daily'!$E$5:$E$369,"&lt;&gt;")=0,"",AVERAGEIF('Input Data Daily'!$K$5:$K$369,$A46,'Input Data Daily'!$E$5:$E$369))</f>
        <v>10.928521728364416</v>
      </c>
      <c r="I46" s="43">
        <f t="shared" si="3"/>
        <v>7.5</v>
      </c>
      <c r="J46" s="43">
        <f>IF(COUNTIFS('Input Data Daily'!$K$5:$K$369,$A46,'Input Data Daily'!$F$5:$F$369,"&lt;&gt;")=0,"",AVERAGEIF('Input Data Daily'!$K$5:$K$369,$A46,'Input Data Daily'!$F$5:$F$369))</f>
        <v>1.7270515485236027</v>
      </c>
      <c r="K46" s="43">
        <f t="shared" si="4"/>
        <v>1.55</v>
      </c>
      <c r="L46" s="43">
        <f>IF(COUNTIFS('Input Data Daily'!$K$5:$K$369,$A46,'Input Data Daily'!$H$5:$H$369,"&lt;&gt;")=0,"",AVERAGEIF('Input Data Daily'!$K$5:$K$369,$A46,'Input Data Daily'!$H$5:$H$369))</f>
        <v>1.1095238095238096</v>
      </c>
      <c r="M46" s="43">
        <f t="shared" si="5"/>
        <v>2.7</v>
      </c>
      <c r="N46" s="47">
        <f>SUMIF('Input Data Daily'!$K$5:$K$369,$A46,'Input Data Daily'!$I$5:$I$369)</f>
        <v>24647.15</v>
      </c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</row>
    <row r="47" spans="1:35" x14ac:dyDescent="0.35">
      <c r="A47" s="39" t="str">
        <f>INDEX('Input Data Daily'!$K$5:$K$369,(ROW()-15)*7+1)</f>
        <v>W33</v>
      </c>
      <c r="B47" s="41">
        <f>IF(COUNTIFS('Input Data Daily'!$K$5:$K$369,$A47,'Input Data Daily'!$B$5:$B$369,"&lt;&gt;")=0,"",AVERAGEIF('Input Data Daily'!$K$5:$K$369,$A47,'Input Data Daily'!$B$5:$B$369))</f>
        <v>0.97</v>
      </c>
      <c r="C47" s="41">
        <f t="shared" ref="C47:C67" si="6">$B$5</f>
        <v>0.93</v>
      </c>
      <c r="D47" s="41">
        <f>IF(COUNTIFS('Input Data Daily'!$K$5:$K$369,$A47,'Input Data Daily'!$C$5:$C$369,"&lt;&gt;")=0,"",AVERAGEIF('Input Data Daily'!$K$5:$K$369,$A47,'Input Data Daily'!$C$5:$C$369))</f>
        <v>0.62967531848127778</v>
      </c>
      <c r="E47" s="41">
        <f t="shared" ref="E47:E67" si="7">$B$6</f>
        <v>0.88</v>
      </c>
      <c r="F47" s="45">
        <f>IF(COUNTIFS('Input Data Daily'!$K$5:$K$369,$A47,'Input Data Daily'!$D$5:$D$369,"&lt;&gt;")=0,"",AVERAGEIF('Input Data Daily'!$K$5:$K$369,$A47,'Input Data Daily'!$D$5:$D$369))</f>
        <v>205.59217857142858</v>
      </c>
      <c r="G47" s="45">
        <f t="shared" ref="G47:G67" si="8">$B$9</f>
        <v>205</v>
      </c>
      <c r="H47" s="43">
        <f>IF(COUNTIFS('Input Data Daily'!$K$5:$K$369,$A47,'Input Data Daily'!$E$5:$E$369,"&lt;&gt;")=0,"",AVERAGEIF('Input Data Daily'!$K$5:$K$369,$A47,'Input Data Daily'!$E$5:$E$369))</f>
        <v>12.414765575847641</v>
      </c>
      <c r="I47" s="43">
        <f t="shared" ref="I47:I67" si="9">$B$8</f>
        <v>7.5</v>
      </c>
      <c r="J47" s="43">
        <f>IF(COUNTIFS('Input Data Daily'!$K$5:$K$369,$A47,'Input Data Daily'!$F$5:$F$369,"&lt;&gt;")=0,"",AVERAGEIF('Input Data Daily'!$K$5:$K$369,$A47,'Input Data Daily'!$F$5:$F$369))</f>
        <v>1.4745641016431528</v>
      </c>
      <c r="K47" s="43">
        <f t="shared" ref="K47:K67" si="10">$B$10</f>
        <v>1.55</v>
      </c>
      <c r="L47" s="43">
        <f>IF(COUNTIFS('Input Data Daily'!$K$5:$K$369,$A47,'Input Data Daily'!$H$5:$H$369,"&lt;&gt;")=0,"",AVERAGEIF('Input Data Daily'!$K$5:$K$369,$A47,'Input Data Daily'!$H$5:$H$369))</f>
        <v>1.2124183006535947</v>
      </c>
      <c r="M47" s="43">
        <f t="shared" ref="M47:M67" si="11">$B$7</f>
        <v>2.7</v>
      </c>
      <c r="N47" s="47">
        <f>SUMIF('Input Data Daily'!$K$5:$K$369,$A47,'Input Data Daily'!$I$5:$I$369)</f>
        <v>19858</v>
      </c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</row>
    <row r="48" spans="1:35" x14ac:dyDescent="0.35">
      <c r="A48" s="39" t="str">
        <f>INDEX('Input Data Daily'!$K$5:$K$369,(ROW()-15)*7+1)</f>
        <v>W34</v>
      </c>
      <c r="B48" s="41" t="str">
        <f>IF(COUNTIFS('Input Data Daily'!$K$5:$K$369,$A48,'Input Data Daily'!$B$5:$B$369,"&lt;&gt;")=0,"",AVERAGEIF('Input Data Daily'!$K$5:$K$369,$A48,'Input Data Daily'!$B$5:$B$369))</f>
        <v/>
      </c>
      <c r="C48" s="41">
        <f t="shared" si="6"/>
        <v>0.93</v>
      </c>
      <c r="D48" s="41" t="str">
        <f>IF(COUNTIFS('Input Data Daily'!$K$5:$K$369,$A48,'Input Data Daily'!$C$5:$C$369,"&lt;&gt;")=0,"",AVERAGEIF('Input Data Daily'!$K$5:$K$369,$A48,'Input Data Daily'!$C$5:$C$369))</f>
        <v/>
      </c>
      <c r="E48" s="41">
        <f t="shared" si="7"/>
        <v>0.88</v>
      </c>
      <c r="F48" s="45" t="str">
        <f>IF(COUNTIFS('Input Data Daily'!$K$5:$K$369,$A48,'Input Data Daily'!$D$5:$D$369,"&lt;&gt;")=0,"",AVERAGEIF('Input Data Daily'!$K$5:$K$369,$A48,'Input Data Daily'!$D$5:$D$369))</f>
        <v/>
      </c>
      <c r="G48" s="45">
        <f t="shared" si="8"/>
        <v>205</v>
      </c>
      <c r="H48" s="43" t="str">
        <f>IF(COUNTIFS('Input Data Daily'!$K$5:$K$369,$A48,'Input Data Daily'!$E$5:$E$369,"&lt;&gt;")=0,"",AVERAGEIF('Input Data Daily'!$K$5:$K$369,$A48,'Input Data Daily'!$E$5:$E$369))</f>
        <v/>
      </c>
      <c r="I48" s="43">
        <f t="shared" si="9"/>
        <v>7.5</v>
      </c>
      <c r="J48" s="43" t="str">
        <f>IF(COUNTIFS('Input Data Daily'!$K$5:$K$369,$A48,'Input Data Daily'!$F$5:$F$369,"&lt;&gt;")=0,"",AVERAGEIF('Input Data Daily'!$K$5:$K$369,$A48,'Input Data Daily'!$F$5:$F$369))</f>
        <v/>
      </c>
      <c r="K48" s="43">
        <f t="shared" si="10"/>
        <v>1.55</v>
      </c>
      <c r="L48" s="43" t="str">
        <f>IF(COUNTIFS('Input Data Daily'!$K$5:$K$369,$A48,'Input Data Daily'!$H$5:$H$369,"&lt;&gt;")=0,"",AVERAGEIF('Input Data Daily'!$K$5:$K$369,$A48,'Input Data Daily'!$H$5:$H$369))</f>
        <v/>
      </c>
      <c r="M48" s="43">
        <f t="shared" si="11"/>
        <v>2.7</v>
      </c>
      <c r="N48" s="47">
        <f>SUMIF('Input Data Daily'!$K$5:$K$369,$A48,'Input Data Daily'!$I$5:$I$369)</f>
        <v>0</v>
      </c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</row>
    <row r="49" spans="1:35" x14ac:dyDescent="0.35">
      <c r="A49" s="39" t="str">
        <f>INDEX('Input Data Daily'!$K$5:$K$369,(ROW()-15)*7+1)</f>
        <v>W35</v>
      </c>
      <c r="B49" s="41">
        <f>IF(COUNTIFS('Input Data Daily'!$K$5:$K$369,$A49,'Input Data Daily'!$B$5:$B$369,"&lt;&gt;")=0,"",AVERAGEIF('Input Data Daily'!$K$5:$K$369,$A49,'Input Data Daily'!$B$5:$B$369))</f>
        <v>0.97830000000000017</v>
      </c>
      <c r="C49" s="41">
        <f t="shared" si="6"/>
        <v>0.93</v>
      </c>
      <c r="D49" s="41">
        <f>IF(COUNTIFS('Input Data Daily'!$K$5:$K$369,$A49,'Input Data Daily'!$C$5:$C$369,"&lt;&gt;")=0,"",AVERAGEIF('Input Data Daily'!$K$5:$K$369,$A49,'Input Data Daily'!$C$5:$C$369))</f>
        <v>0.55890363362791362</v>
      </c>
      <c r="E49" s="41">
        <f t="shared" si="7"/>
        <v>0.88</v>
      </c>
      <c r="F49" s="45">
        <f>IF(COUNTIFS('Input Data Daily'!$K$5:$K$369,$A49,'Input Data Daily'!$D$5:$D$369,"&lt;&gt;")=0,"",AVERAGEIF('Input Data Daily'!$K$5:$K$369,$A49,'Input Data Daily'!$D$5:$D$369))</f>
        <v>205.70297735160199</v>
      </c>
      <c r="G49" s="45">
        <f t="shared" si="8"/>
        <v>205</v>
      </c>
      <c r="H49" s="43">
        <f>IF(COUNTIFS('Input Data Daily'!$K$5:$K$369,$A49,'Input Data Daily'!$E$5:$E$369,"&lt;&gt;")=0,"",AVERAGEIF('Input Data Daily'!$K$5:$K$369,$A49,'Input Data Daily'!$E$5:$E$369))</f>
        <v>9.2756071465678609</v>
      </c>
      <c r="I49" s="43">
        <f t="shared" si="9"/>
        <v>7.5</v>
      </c>
      <c r="J49" s="43">
        <f>IF(COUNTIFS('Input Data Daily'!$K$5:$K$369,$A49,'Input Data Daily'!$F$5:$F$369,"&lt;&gt;")=0,"",AVERAGEIF('Input Data Daily'!$K$5:$K$369,$A49,'Input Data Daily'!$F$5:$F$369))</f>
        <v>1.7963769312270017</v>
      </c>
      <c r="K49" s="43">
        <f t="shared" si="10"/>
        <v>1.55</v>
      </c>
      <c r="L49" s="43">
        <f>IF(COUNTIFS('Input Data Daily'!$K$5:$K$369,$A49,'Input Data Daily'!$H$5:$H$369,"&lt;&gt;")=0,"",AVERAGEIF('Input Data Daily'!$K$5:$K$369,$A49,'Input Data Daily'!$H$5:$H$369))</f>
        <v>1.4577777777777776</v>
      </c>
      <c r="M49" s="43">
        <f t="shared" si="11"/>
        <v>2.7</v>
      </c>
      <c r="N49" s="47">
        <f>SUMIF('Input Data Daily'!$K$5:$K$369,$A49,'Input Data Daily'!$I$5:$I$369)</f>
        <v>28002.5</v>
      </c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</row>
    <row r="50" spans="1:35" x14ac:dyDescent="0.35">
      <c r="A50" s="39" t="str">
        <f>INDEX('Input Data Daily'!$K$5:$K$369,(ROW()-15)*7+1)</f>
        <v>W36</v>
      </c>
      <c r="B50" s="41">
        <f>IF(COUNTIFS('Input Data Daily'!$K$5:$K$369,$A50,'Input Data Daily'!$B$5:$B$369,"&lt;&gt;")=0,"",AVERAGEIF('Input Data Daily'!$K$5:$K$369,$A50,'Input Data Daily'!$B$5:$B$369))</f>
        <v>0.97714285714285709</v>
      </c>
      <c r="C50" s="41">
        <f t="shared" si="6"/>
        <v>0.93</v>
      </c>
      <c r="D50" s="41">
        <f>IF(COUNTIFS('Input Data Daily'!$K$5:$K$369,$A50,'Input Data Daily'!$C$5:$C$369,"&lt;&gt;")=0,"",AVERAGEIF('Input Data Daily'!$K$5:$K$369,$A50,'Input Data Daily'!$C$5:$C$369))</f>
        <v>0.53618580179446373</v>
      </c>
      <c r="E50" s="41">
        <f t="shared" si="7"/>
        <v>0.88</v>
      </c>
      <c r="F50" s="45">
        <f>IF(COUNTIFS('Input Data Daily'!$K$5:$K$369,$A50,'Input Data Daily'!$D$5:$D$369,"&lt;&gt;")=0,"",AVERAGEIF('Input Data Daily'!$K$5:$K$369,$A50,'Input Data Daily'!$D$5:$D$369))</f>
        <v>206.13746197190244</v>
      </c>
      <c r="G50" s="45">
        <f t="shared" si="8"/>
        <v>205</v>
      </c>
      <c r="H50" s="43">
        <f>IF(COUNTIFS('Input Data Daily'!$K$5:$K$369,$A50,'Input Data Daily'!$E$5:$E$369,"&lt;&gt;")=0,"",AVERAGEIF('Input Data Daily'!$K$5:$K$369,$A50,'Input Data Daily'!$E$5:$E$369))</f>
        <v>8.8385557040527516</v>
      </c>
      <c r="I50" s="43">
        <f t="shared" si="9"/>
        <v>7.5</v>
      </c>
      <c r="J50" s="43">
        <f>IF(COUNTIFS('Input Data Daily'!$K$5:$K$369,$A50,'Input Data Daily'!$F$5:$F$369,"&lt;&gt;")=0,"",AVERAGEIF('Input Data Daily'!$K$5:$K$369,$A50,'Input Data Daily'!$F$5:$F$369))</f>
        <v>1.699270237102686</v>
      </c>
      <c r="K50" s="43">
        <f t="shared" si="10"/>
        <v>1.55</v>
      </c>
      <c r="L50" s="43">
        <f>IF(COUNTIFS('Input Data Daily'!$K$5:$K$369,$A50,'Input Data Daily'!$H$5:$H$369,"&lt;&gt;")=0,"",AVERAGEIF('Input Data Daily'!$K$5:$K$369,$A50,'Input Data Daily'!$H$5:$H$369))</f>
        <v>1.4387755102040816</v>
      </c>
      <c r="M50" s="43">
        <f t="shared" si="11"/>
        <v>2.7</v>
      </c>
      <c r="N50" s="47">
        <f>SUMIF('Input Data Daily'!$K$5:$K$369,$A50,'Input Data Daily'!$I$5:$I$369)</f>
        <v>53901</v>
      </c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</row>
    <row r="51" spans="1:35" x14ac:dyDescent="0.35">
      <c r="A51" s="39" t="str">
        <f>INDEX('Input Data Daily'!$K$5:$K$369,(ROW()-15)*7+1)</f>
        <v>W37</v>
      </c>
      <c r="B51" s="41">
        <f>IF(COUNTIFS('Input Data Daily'!$K$5:$K$369,$A51,'Input Data Daily'!$B$5:$B$369,"&lt;&gt;")=0,"",AVERAGEIF('Input Data Daily'!$K$5:$K$369,$A51,'Input Data Daily'!$B$5:$B$369))</f>
        <v>0.99</v>
      </c>
      <c r="C51" s="41">
        <f t="shared" si="6"/>
        <v>0.93</v>
      </c>
      <c r="D51" s="41">
        <f>IF(COUNTIFS('Input Data Daily'!$K$5:$K$369,$A51,'Input Data Daily'!$C$5:$C$369,"&lt;&gt;")=0,"",AVERAGEIF('Input Data Daily'!$K$5:$K$369,$A51,'Input Data Daily'!$C$5:$C$369))</f>
        <v>0.40697458729237151</v>
      </c>
      <c r="E51" s="41">
        <f t="shared" si="7"/>
        <v>0.88</v>
      </c>
      <c r="F51" s="45">
        <f>IF(COUNTIFS('Input Data Daily'!$K$5:$K$369,$A51,'Input Data Daily'!$D$5:$D$369,"&lt;&gt;")=0,"",AVERAGEIF('Input Data Daily'!$K$5:$K$369,$A51,'Input Data Daily'!$D$5:$D$369))</f>
        <v>209.12289002557543</v>
      </c>
      <c r="G51" s="45">
        <f t="shared" si="8"/>
        <v>205</v>
      </c>
      <c r="H51" s="43">
        <f>IF(COUNTIFS('Input Data Daily'!$K$5:$K$369,$A51,'Input Data Daily'!$E$5:$E$369,"&lt;&gt;")=0,"",AVERAGEIF('Input Data Daily'!$K$5:$K$369,$A51,'Input Data Daily'!$E$5:$E$369))</f>
        <v>6.8638621490495773</v>
      </c>
      <c r="I51" s="43">
        <f t="shared" si="9"/>
        <v>7.5</v>
      </c>
      <c r="J51" s="43">
        <f>IF(COUNTIFS('Input Data Daily'!$K$5:$K$369,$A51,'Input Data Daily'!$F$5:$F$369,"&lt;&gt;")=0,"",AVERAGEIF('Input Data Daily'!$K$5:$K$369,$A51,'Input Data Daily'!$F$5:$F$369))</f>
        <v>1.3639608222156512</v>
      </c>
      <c r="K51" s="43">
        <f t="shared" si="10"/>
        <v>1.55</v>
      </c>
      <c r="L51" s="43">
        <f>IF(COUNTIFS('Input Data Daily'!$K$5:$K$369,$A51,'Input Data Daily'!$H$5:$H$369,"&lt;&gt;")=0,"",AVERAGEIF('Input Data Daily'!$K$5:$K$369,$A51,'Input Data Daily'!$H$5:$H$369))</f>
        <v>1.42</v>
      </c>
      <c r="M51" s="43">
        <f t="shared" si="11"/>
        <v>2.7</v>
      </c>
      <c r="N51" s="47">
        <f>SUMIF('Input Data Daily'!$K$5:$K$369,$A51,'Input Data Daily'!$I$5:$I$369)</f>
        <v>13122.95</v>
      </c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</row>
    <row r="52" spans="1:35" x14ac:dyDescent="0.35">
      <c r="A52" s="39" t="str">
        <f>INDEX('Input Data Daily'!$K$5:$K$369,(ROW()-15)*7+1)</f>
        <v>W38</v>
      </c>
      <c r="B52" s="41">
        <f>IF(COUNTIFS('Input Data Daily'!$K$5:$K$369,$A52,'Input Data Daily'!$B$5:$B$369,"&lt;&gt;")=0,"",AVERAGEIF('Input Data Daily'!$K$5:$K$369,$A52,'Input Data Daily'!$B$5:$B$369))</f>
        <v>0.97833333333333317</v>
      </c>
      <c r="C52" s="41">
        <f t="shared" si="6"/>
        <v>0.93</v>
      </c>
      <c r="D52" s="41">
        <f>IF(COUNTIFS('Input Data Daily'!$K$5:$K$369,$A52,'Input Data Daily'!$C$5:$C$369,"&lt;&gt;")=0,"",AVERAGEIF('Input Data Daily'!$K$5:$K$369,$A52,'Input Data Daily'!$C$5:$C$369))</f>
        <v>0.47260822320348317</v>
      </c>
      <c r="E52" s="41">
        <f t="shared" si="7"/>
        <v>0.88</v>
      </c>
      <c r="F52" s="45">
        <f>IF(COUNTIFS('Input Data Daily'!$K$5:$K$369,$A52,'Input Data Daily'!$D$5:$D$369,"&lt;&gt;")=0,"",AVERAGEIF('Input Data Daily'!$K$5:$K$369,$A52,'Input Data Daily'!$D$5:$D$369))</f>
        <v>206.76634242091973</v>
      </c>
      <c r="G52" s="45">
        <f t="shared" si="8"/>
        <v>205</v>
      </c>
      <c r="H52" s="43">
        <f>IF(COUNTIFS('Input Data Daily'!$K$5:$K$369,$A52,'Input Data Daily'!$E$5:$E$369,"&lt;&gt;")=0,"",AVERAGEIF('Input Data Daily'!$K$5:$K$369,$A52,'Input Data Daily'!$E$5:$E$369))</f>
        <v>9.3969817709951151</v>
      </c>
      <c r="I52" s="43">
        <f t="shared" si="9"/>
        <v>7.5</v>
      </c>
      <c r="J52" s="43">
        <f>IF(COUNTIFS('Input Data Daily'!$K$5:$K$369,$A52,'Input Data Daily'!$F$5:$F$369,"&lt;&gt;")=0,"",AVERAGEIF('Input Data Daily'!$K$5:$K$369,$A52,'Input Data Daily'!$F$5:$F$369))</f>
        <v>1.7823835688877434</v>
      </c>
      <c r="K52" s="43">
        <f t="shared" si="10"/>
        <v>1.55</v>
      </c>
      <c r="L52" s="43">
        <f>IF(COUNTIFS('Input Data Daily'!$K$5:$K$369,$A52,'Input Data Daily'!$H$5:$H$369,"&lt;&gt;")=0,"",AVERAGEIF('Input Data Daily'!$K$5:$K$369,$A52,'Input Data Daily'!$H$5:$H$369))</f>
        <v>1.2013888888888888</v>
      </c>
      <c r="M52" s="43">
        <f t="shared" si="11"/>
        <v>2.7</v>
      </c>
      <c r="N52" s="47">
        <f>SUMIF('Input Data Daily'!$K$5:$K$369,$A52,'Input Data Daily'!$I$5:$I$369)</f>
        <v>40318.199999999997</v>
      </c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</row>
    <row r="53" spans="1:35" x14ac:dyDescent="0.35">
      <c r="A53" s="39" t="str">
        <f>INDEX('Input Data Daily'!$K$5:$K$369,(ROW()-15)*7+1)</f>
        <v>W39</v>
      </c>
      <c r="B53" s="41">
        <f>IF(COUNTIFS('Input Data Daily'!$K$5:$K$369,$A53,'Input Data Daily'!$B$5:$B$369,"&lt;&gt;")=0,"",AVERAGEIF('Input Data Daily'!$K$5:$K$369,$A53,'Input Data Daily'!$B$5:$B$369))</f>
        <v>0.98457142857142876</v>
      </c>
      <c r="C53" s="41">
        <f t="shared" si="6"/>
        <v>0.93</v>
      </c>
      <c r="D53" s="41">
        <f>IF(COUNTIFS('Input Data Daily'!$K$5:$K$369,$A53,'Input Data Daily'!$C$5:$C$369,"&lt;&gt;")=0,"",AVERAGEIF('Input Data Daily'!$K$5:$K$369,$A53,'Input Data Daily'!$C$5:$C$369))</f>
        <v>0.77337827856043795</v>
      </c>
      <c r="E53" s="41">
        <f t="shared" si="7"/>
        <v>0.88</v>
      </c>
      <c r="F53" s="45">
        <f>IF(COUNTIFS('Input Data Daily'!$K$5:$K$369,$A53,'Input Data Daily'!$D$5:$D$369,"&lt;&gt;")=0,"",AVERAGEIF('Input Data Daily'!$K$5:$K$369,$A53,'Input Data Daily'!$D$5:$D$369))</f>
        <v>203.20997796449214</v>
      </c>
      <c r="G53" s="45">
        <f t="shared" si="8"/>
        <v>205</v>
      </c>
      <c r="H53" s="43">
        <f>IF(COUNTIFS('Input Data Daily'!$K$5:$K$369,$A53,'Input Data Daily'!$E$5:$E$369,"&lt;&gt;")=0,"",AVERAGEIF('Input Data Daily'!$K$5:$K$369,$A53,'Input Data Daily'!$E$5:$E$369))</f>
        <v>6.9223640978360068</v>
      </c>
      <c r="I53" s="43">
        <f t="shared" si="9"/>
        <v>7.5</v>
      </c>
      <c r="J53" s="43">
        <f>IF(COUNTIFS('Input Data Daily'!$K$5:$K$369,$A53,'Input Data Daily'!$F$5:$F$369,"&lt;&gt;")=0,"",AVERAGEIF('Input Data Daily'!$K$5:$K$369,$A53,'Input Data Daily'!$F$5:$F$369))</f>
        <v>1.4626601158545267</v>
      </c>
      <c r="K53" s="43">
        <f t="shared" si="10"/>
        <v>1.55</v>
      </c>
      <c r="L53" s="43">
        <f>IF(COUNTIFS('Input Data Daily'!$K$5:$K$369,$A53,'Input Data Daily'!$H$5:$H$369,"&lt;&gt;")=0,"",AVERAGEIF('Input Data Daily'!$K$5:$K$369,$A53,'Input Data Daily'!$H$5:$H$369))</f>
        <v>2.654863945578231</v>
      </c>
      <c r="M53" s="43">
        <f t="shared" si="11"/>
        <v>2.7</v>
      </c>
      <c r="N53" s="47">
        <f>SUMIF('Input Data Daily'!$K$5:$K$369,$A53,'Input Data Daily'!$I$5:$I$369)</f>
        <v>97726.499999999985</v>
      </c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</row>
    <row r="54" spans="1:35" x14ac:dyDescent="0.35">
      <c r="A54" s="39" t="str">
        <f>INDEX('Input Data Daily'!$K$5:$K$369,(ROW()-15)*7+1)</f>
        <v>W40</v>
      </c>
      <c r="B54" s="41">
        <f>IF(COUNTIFS('Input Data Daily'!$K$5:$K$369,$A54,'Input Data Daily'!$B$5:$B$369,"&lt;&gt;")=0,"",AVERAGEIF('Input Data Daily'!$K$5:$K$369,$A54,'Input Data Daily'!$B$5:$B$369))</f>
        <v>0.97099999999999986</v>
      </c>
      <c r="C54" s="41">
        <f t="shared" si="6"/>
        <v>0.93</v>
      </c>
      <c r="D54" s="41">
        <f>IF(COUNTIFS('Input Data Daily'!$K$5:$K$369,$A54,'Input Data Daily'!$C$5:$C$369,"&lt;&gt;")=0,"",AVERAGEIF('Input Data Daily'!$K$5:$K$369,$A54,'Input Data Daily'!$C$5:$C$369))</f>
        <v>0.81661528666582472</v>
      </c>
      <c r="E54" s="41">
        <f t="shared" si="7"/>
        <v>0.88</v>
      </c>
      <c r="F54" s="45">
        <f>IF(COUNTIFS('Input Data Daily'!$K$5:$K$369,$A54,'Input Data Daily'!$D$5:$D$369,"&lt;&gt;")=0,"",AVERAGEIF('Input Data Daily'!$K$5:$K$369,$A54,'Input Data Daily'!$D$5:$D$369))</f>
        <v>204.21473456768777</v>
      </c>
      <c r="G54" s="45">
        <f t="shared" si="8"/>
        <v>205</v>
      </c>
      <c r="H54" s="43">
        <f>IF(COUNTIFS('Input Data Daily'!$K$5:$K$369,$A54,'Input Data Daily'!$E$5:$E$369,"&lt;&gt;")=0,"",AVERAGEIF('Input Data Daily'!$K$5:$K$369,$A54,'Input Data Daily'!$E$5:$E$369))</f>
        <v>8.2388707154797949</v>
      </c>
      <c r="I54" s="43">
        <f t="shared" si="9"/>
        <v>7.5</v>
      </c>
      <c r="J54" s="43">
        <f>IF(COUNTIFS('Input Data Daily'!$K$5:$K$369,$A54,'Input Data Daily'!$F$5:$F$369,"&lt;&gt;")=0,"",AVERAGEIF('Input Data Daily'!$K$5:$K$369,$A54,'Input Data Daily'!$F$5:$F$369))</f>
        <v>1.564545954604839</v>
      </c>
      <c r="K54" s="43">
        <f t="shared" si="10"/>
        <v>1.55</v>
      </c>
      <c r="L54" s="43">
        <f>IF(COUNTIFS('Input Data Daily'!$K$5:$K$369,$A54,'Input Data Daily'!$H$5:$H$369,"&lt;&gt;")=0,"",AVERAGEIF('Input Data Daily'!$K$5:$K$369,$A54,'Input Data Daily'!$H$5:$H$369))</f>
        <v>2.7176992442773171</v>
      </c>
      <c r="M54" s="43">
        <f t="shared" si="11"/>
        <v>2.7</v>
      </c>
      <c r="N54" s="47">
        <f>SUMIF('Input Data Daily'!$K$5:$K$369,$A54,'Input Data Daily'!$I$5:$I$369)</f>
        <v>125803.6967936508</v>
      </c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</row>
    <row r="55" spans="1:35" x14ac:dyDescent="0.35">
      <c r="A55" s="39" t="str">
        <f>INDEX('Input Data Daily'!$K$5:$K$369,(ROW()-15)*7+1)</f>
        <v>W41</v>
      </c>
      <c r="B55" s="41">
        <f>IF(COUNTIFS('Input Data Daily'!$K$5:$K$369,$A55,'Input Data Daily'!$B$5:$B$369,"&lt;&gt;")=0,"",AVERAGEIF('Input Data Daily'!$K$5:$K$369,$A55,'Input Data Daily'!$B$5:$B$369))</f>
        <v>0.96234999999999993</v>
      </c>
      <c r="C55" s="41">
        <f t="shared" si="6"/>
        <v>0.93</v>
      </c>
      <c r="D55" s="41">
        <f>IF(COUNTIFS('Input Data Daily'!$K$5:$K$369,$A55,'Input Data Daily'!$C$5:$C$369,"&lt;&gt;")=0,"",AVERAGEIF('Input Data Daily'!$K$5:$K$369,$A55,'Input Data Daily'!$C$5:$C$369))</f>
        <v>0.8382944241368856</v>
      </c>
      <c r="E55" s="41">
        <f t="shared" si="7"/>
        <v>0.88</v>
      </c>
      <c r="F55" s="45">
        <f>IF(COUNTIFS('Input Data Daily'!$K$5:$K$369,$A55,'Input Data Daily'!$D$5:$D$369,"&lt;&gt;")=0,"",AVERAGEIF('Input Data Daily'!$K$5:$K$369,$A55,'Input Data Daily'!$D$5:$D$369))</f>
        <v>205.54365305685531</v>
      </c>
      <c r="G55" s="45">
        <f t="shared" si="8"/>
        <v>205</v>
      </c>
      <c r="H55" s="43">
        <f>IF(COUNTIFS('Input Data Daily'!$K$5:$K$369,$A55,'Input Data Daily'!$E$5:$E$369,"&lt;&gt;")=0,"",AVERAGEIF('Input Data Daily'!$K$5:$K$369,$A55,'Input Data Daily'!$E$5:$E$369))</f>
        <v>8.7175883830978389</v>
      </c>
      <c r="I55" s="43">
        <f t="shared" si="9"/>
        <v>7.5</v>
      </c>
      <c r="J55" s="43">
        <f>IF(COUNTIFS('Input Data Daily'!$K$5:$K$369,$A55,'Input Data Daily'!$F$5:$F$369,"&lt;&gt;")=0,"",AVERAGEIF('Input Data Daily'!$K$5:$K$369,$A55,'Input Data Daily'!$F$5:$F$369))</f>
        <v>1.5333967039873861</v>
      </c>
      <c r="K55" s="43">
        <f t="shared" si="10"/>
        <v>1.55</v>
      </c>
      <c r="L55" s="43">
        <f>IF(COUNTIFS('Input Data Daily'!$K$5:$K$369,$A55,'Input Data Daily'!$H$5:$H$369,"&lt;&gt;")=0,"",AVERAGEIF('Input Data Daily'!$K$5:$K$369,$A55,'Input Data Daily'!$H$5:$H$369))</f>
        <v>2.611599160607569</v>
      </c>
      <c r="M55" s="43">
        <f t="shared" si="11"/>
        <v>2.7</v>
      </c>
      <c r="N55" s="47">
        <f>SUMIF('Input Data Daily'!$K$5:$K$369,$A55,'Input Data Daily'!$I$5:$I$369)</f>
        <v>153924.89555555556</v>
      </c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</row>
    <row r="56" spans="1:35" x14ac:dyDescent="0.35">
      <c r="A56" s="39" t="str">
        <f>INDEX('Input Data Daily'!$K$5:$K$369,(ROW()-15)*7+1)</f>
        <v>W42</v>
      </c>
      <c r="B56" s="41" t="str">
        <f>IF(COUNTIFS('Input Data Daily'!$K$5:$K$369,$A56,'Input Data Daily'!$B$5:$B$369,"&lt;&gt;")=0,"",AVERAGEIF('Input Data Daily'!$K$5:$K$369,$A56,'Input Data Daily'!$B$5:$B$369))</f>
        <v/>
      </c>
      <c r="C56" s="41">
        <f t="shared" si="6"/>
        <v>0.93</v>
      </c>
      <c r="D56" s="41" t="str">
        <f>IF(COUNTIFS('Input Data Daily'!$K$5:$K$369,$A56,'Input Data Daily'!$C$5:$C$369,"&lt;&gt;")=0,"",AVERAGEIF('Input Data Daily'!$K$5:$K$369,$A56,'Input Data Daily'!$C$5:$C$369))</f>
        <v/>
      </c>
      <c r="E56" s="41">
        <f t="shared" si="7"/>
        <v>0.88</v>
      </c>
      <c r="F56" s="45" t="str">
        <f>IF(COUNTIFS('Input Data Daily'!$K$5:$K$369,$A56,'Input Data Daily'!$D$5:$D$369,"&lt;&gt;")=0,"",AVERAGEIF('Input Data Daily'!$K$5:$K$369,$A56,'Input Data Daily'!$D$5:$D$369))</f>
        <v/>
      </c>
      <c r="G56" s="45">
        <f t="shared" si="8"/>
        <v>205</v>
      </c>
      <c r="H56" s="43" t="str">
        <f>IF(COUNTIFS('Input Data Daily'!$K$5:$K$369,$A56,'Input Data Daily'!$E$5:$E$369,"&lt;&gt;")=0,"",AVERAGEIF('Input Data Daily'!$K$5:$K$369,$A56,'Input Data Daily'!$E$5:$E$369))</f>
        <v/>
      </c>
      <c r="I56" s="43">
        <f t="shared" si="9"/>
        <v>7.5</v>
      </c>
      <c r="J56" s="43" t="str">
        <f>IF(COUNTIFS('Input Data Daily'!$K$5:$K$369,$A56,'Input Data Daily'!$F$5:$F$369,"&lt;&gt;")=0,"",AVERAGEIF('Input Data Daily'!$K$5:$K$369,$A56,'Input Data Daily'!$F$5:$F$369))</f>
        <v/>
      </c>
      <c r="K56" s="43">
        <f t="shared" si="10"/>
        <v>1.55</v>
      </c>
      <c r="L56" s="43" t="str">
        <f>IF(COUNTIFS('Input Data Daily'!$K$5:$K$369,$A56,'Input Data Daily'!$H$5:$H$369,"&lt;&gt;")=0,"",AVERAGEIF('Input Data Daily'!$K$5:$K$369,$A56,'Input Data Daily'!$H$5:$H$369))</f>
        <v/>
      </c>
      <c r="M56" s="43">
        <f t="shared" si="11"/>
        <v>2.7</v>
      </c>
      <c r="N56" s="47">
        <f>SUMIF('Input Data Daily'!$K$5:$K$369,$A56,'Input Data Daily'!$I$5:$I$369)</f>
        <v>0</v>
      </c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</row>
    <row r="57" spans="1:35" x14ac:dyDescent="0.35">
      <c r="A57" s="39" t="str">
        <f>INDEX('Input Data Daily'!$K$5:$K$369,(ROW()-15)*7+1)</f>
        <v>W43</v>
      </c>
      <c r="B57" s="41" t="str">
        <f>IF(COUNTIFS('Input Data Daily'!$K$5:$K$369,$A57,'Input Data Daily'!$B$5:$B$369,"&lt;&gt;")=0,"",AVERAGEIF('Input Data Daily'!$K$5:$K$369,$A57,'Input Data Daily'!$B$5:$B$369))</f>
        <v/>
      </c>
      <c r="C57" s="41">
        <f t="shared" si="6"/>
        <v>0.93</v>
      </c>
      <c r="D57" s="41" t="str">
        <f>IF(COUNTIFS('Input Data Daily'!$K$5:$K$369,$A57,'Input Data Daily'!$C$5:$C$369,"&lt;&gt;")=0,"",AVERAGEIF('Input Data Daily'!$K$5:$K$369,$A57,'Input Data Daily'!$C$5:$C$369))</f>
        <v/>
      </c>
      <c r="E57" s="41">
        <f t="shared" si="7"/>
        <v>0.88</v>
      </c>
      <c r="F57" s="45" t="str">
        <f>IF(COUNTIFS('Input Data Daily'!$K$5:$K$369,$A57,'Input Data Daily'!$D$5:$D$369,"&lt;&gt;")=0,"",AVERAGEIF('Input Data Daily'!$K$5:$K$369,$A57,'Input Data Daily'!$D$5:$D$369))</f>
        <v/>
      </c>
      <c r="G57" s="45">
        <f t="shared" si="8"/>
        <v>205</v>
      </c>
      <c r="H57" s="43" t="str">
        <f>IF(COUNTIFS('Input Data Daily'!$K$5:$K$369,$A57,'Input Data Daily'!$E$5:$E$369,"&lt;&gt;")=0,"",AVERAGEIF('Input Data Daily'!$K$5:$K$369,$A57,'Input Data Daily'!$E$5:$E$369))</f>
        <v/>
      </c>
      <c r="I57" s="43">
        <f t="shared" si="9"/>
        <v>7.5</v>
      </c>
      <c r="J57" s="43" t="str">
        <f>IF(COUNTIFS('Input Data Daily'!$K$5:$K$369,$A57,'Input Data Daily'!$F$5:$F$369,"&lt;&gt;")=0,"",AVERAGEIF('Input Data Daily'!$K$5:$K$369,$A57,'Input Data Daily'!$F$5:$F$369))</f>
        <v/>
      </c>
      <c r="K57" s="43">
        <f t="shared" si="10"/>
        <v>1.55</v>
      </c>
      <c r="L57" s="43" t="str">
        <f>IF(COUNTIFS('Input Data Daily'!$K$5:$K$369,$A57,'Input Data Daily'!$H$5:$H$369,"&lt;&gt;")=0,"",AVERAGEIF('Input Data Daily'!$K$5:$K$369,$A57,'Input Data Daily'!$H$5:$H$369))</f>
        <v/>
      </c>
      <c r="M57" s="43">
        <f t="shared" si="11"/>
        <v>2.7</v>
      </c>
      <c r="N57" s="47">
        <f>SUMIF('Input Data Daily'!$K$5:$K$369,$A57,'Input Data Daily'!$I$5:$I$369)</f>
        <v>0</v>
      </c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</row>
    <row r="58" spans="1:35" x14ac:dyDescent="0.35">
      <c r="A58" s="39" t="str">
        <f>INDEX('Input Data Daily'!$K$5:$K$369,(ROW()-15)*7+1)</f>
        <v>W44</v>
      </c>
      <c r="B58" s="41" t="str">
        <f>IF(COUNTIFS('Input Data Daily'!$K$5:$K$369,$A58,'Input Data Daily'!$B$5:$B$369,"&lt;&gt;")=0,"",AVERAGEIF('Input Data Daily'!$K$5:$K$369,$A58,'Input Data Daily'!$B$5:$B$369))</f>
        <v/>
      </c>
      <c r="C58" s="41">
        <f t="shared" si="6"/>
        <v>0.93</v>
      </c>
      <c r="D58" s="41" t="str">
        <f>IF(COUNTIFS('Input Data Daily'!$K$5:$K$369,$A58,'Input Data Daily'!$C$5:$C$369,"&lt;&gt;")=0,"",AVERAGEIF('Input Data Daily'!$K$5:$K$369,$A58,'Input Data Daily'!$C$5:$C$369))</f>
        <v/>
      </c>
      <c r="E58" s="41">
        <f t="shared" si="7"/>
        <v>0.88</v>
      </c>
      <c r="F58" s="45" t="str">
        <f>IF(COUNTIFS('Input Data Daily'!$K$5:$K$369,$A58,'Input Data Daily'!$D$5:$D$369,"&lt;&gt;")=0,"",AVERAGEIF('Input Data Daily'!$K$5:$K$369,$A58,'Input Data Daily'!$D$5:$D$369))</f>
        <v/>
      </c>
      <c r="G58" s="45">
        <f t="shared" si="8"/>
        <v>205</v>
      </c>
      <c r="H58" s="43" t="str">
        <f>IF(COUNTIFS('Input Data Daily'!$K$5:$K$369,$A58,'Input Data Daily'!$E$5:$E$369,"&lt;&gt;")=0,"",AVERAGEIF('Input Data Daily'!$K$5:$K$369,$A58,'Input Data Daily'!$E$5:$E$369))</f>
        <v/>
      </c>
      <c r="I58" s="43">
        <f t="shared" si="9"/>
        <v>7.5</v>
      </c>
      <c r="J58" s="43" t="str">
        <f>IF(COUNTIFS('Input Data Daily'!$K$5:$K$369,$A58,'Input Data Daily'!$F$5:$F$369,"&lt;&gt;")=0,"",AVERAGEIF('Input Data Daily'!$K$5:$K$369,$A58,'Input Data Daily'!$F$5:$F$369))</f>
        <v/>
      </c>
      <c r="K58" s="43">
        <f t="shared" si="10"/>
        <v>1.55</v>
      </c>
      <c r="L58" s="43" t="str">
        <f>IF(COUNTIFS('Input Data Daily'!$K$5:$K$369,$A58,'Input Data Daily'!$H$5:$H$369,"&lt;&gt;")=0,"",AVERAGEIF('Input Data Daily'!$K$5:$K$369,$A58,'Input Data Daily'!$H$5:$H$369))</f>
        <v/>
      </c>
      <c r="M58" s="43">
        <f t="shared" si="11"/>
        <v>2.7</v>
      </c>
      <c r="N58" s="47">
        <f>SUMIF('Input Data Daily'!$K$5:$K$369,$A58,'Input Data Daily'!$I$5:$I$369)</f>
        <v>0</v>
      </c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</row>
    <row r="59" spans="1:35" x14ac:dyDescent="0.35">
      <c r="A59" s="39" t="str">
        <f>INDEX('Input Data Daily'!$K$5:$K$369,(ROW()-15)*7+1)</f>
        <v>W45</v>
      </c>
      <c r="B59" s="41" t="str">
        <f>IF(COUNTIFS('Input Data Daily'!$K$5:$K$369,$A59,'Input Data Daily'!$B$5:$B$369,"&lt;&gt;")=0,"",AVERAGEIF('Input Data Daily'!$K$5:$K$369,$A59,'Input Data Daily'!$B$5:$B$369))</f>
        <v/>
      </c>
      <c r="C59" s="41">
        <f t="shared" si="6"/>
        <v>0.93</v>
      </c>
      <c r="D59" s="41" t="str">
        <f>IF(COUNTIFS('Input Data Daily'!$K$5:$K$369,$A59,'Input Data Daily'!$C$5:$C$369,"&lt;&gt;")=0,"",AVERAGEIF('Input Data Daily'!$K$5:$K$369,$A59,'Input Data Daily'!$C$5:$C$369))</f>
        <v/>
      </c>
      <c r="E59" s="41">
        <f t="shared" si="7"/>
        <v>0.88</v>
      </c>
      <c r="F59" s="45" t="str">
        <f>IF(COUNTIFS('Input Data Daily'!$K$5:$K$369,$A59,'Input Data Daily'!$D$5:$D$369,"&lt;&gt;")=0,"",AVERAGEIF('Input Data Daily'!$K$5:$K$369,$A59,'Input Data Daily'!$D$5:$D$369))</f>
        <v/>
      </c>
      <c r="G59" s="45">
        <f t="shared" si="8"/>
        <v>205</v>
      </c>
      <c r="H59" s="43" t="str">
        <f>IF(COUNTIFS('Input Data Daily'!$K$5:$K$369,$A59,'Input Data Daily'!$E$5:$E$369,"&lt;&gt;")=0,"",AVERAGEIF('Input Data Daily'!$K$5:$K$369,$A59,'Input Data Daily'!$E$5:$E$369))</f>
        <v/>
      </c>
      <c r="I59" s="43">
        <f t="shared" si="9"/>
        <v>7.5</v>
      </c>
      <c r="J59" s="43" t="str">
        <f>IF(COUNTIFS('Input Data Daily'!$K$5:$K$369,$A59,'Input Data Daily'!$F$5:$F$369,"&lt;&gt;")=0,"",AVERAGEIF('Input Data Daily'!$K$5:$K$369,$A59,'Input Data Daily'!$F$5:$F$369))</f>
        <v/>
      </c>
      <c r="K59" s="43">
        <f t="shared" si="10"/>
        <v>1.55</v>
      </c>
      <c r="L59" s="43" t="str">
        <f>IF(COUNTIFS('Input Data Daily'!$K$5:$K$369,$A59,'Input Data Daily'!$H$5:$H$369,"&lt;&gt;")=0,"",AVERAGEIF('Input Data Daily'!$K$5:$K$369,$A59,'Input Data Daily'!$H$5:$H$369))</f>
        <v/>
      </c>
      <c r="M59" s="43">
        <f t="shared" si="11"/>
        <v>2.7</v>
      </c>
      <c r="N59" s="47">
        <f>SUMIF('Input Data Daily'!$K$5:$K$369,$A59,'Input Data Daily'!$I$5:$I$369)</f>
        <v>0</v>
      </c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</row>
    <row r="60" spans="1:35" x14ac:dyDescent="0.35">
      <c r="A60" s="39" t="str">
        <f>INDEX('Input Data Daily'!$K$5:$K$369,(ROW()-15)*7+1)</f>
        <v>W46</v>
      </c>
      <c r="B60" s="41" t="str">
        <f>IF(COUNTIFS('Input Data Daily'!$K$5:$K$369,$A60,'Input Data Daily'!$B$5:$B$369,"&lt;&gt;")=0,"",AVERAGEIF('Input Data Daily'!$K$5:$K$369,$A60,'Input Data Daily'!$B$5:$B$369))</f>
        <v/>
      </c>
      <c r="C60" s="41">
        <f t="shared" si="6"/>
        <v>0.93</v>
      </c>
      <c r="D60" s="41" t="str">
        <f>IF(COUNTIFS('Input Data Daily'!$K$5:$K$369,$A60,'Input Data Daily'!$C$5:$C$369,"&lt;&gt;")=0,"",AVERAGEIF('Input Data Daily'!$K$5:$K$369,$A60,'Input Data Daily'!$C$5:$C$369))</f>
        <v/>
      </c>
      <c r="E60" s="41">
        <f t="shared" si="7"/>
        <v>0.88</v>
      </c>
      <c r="F60" s="45" t="str">
        <f>IF(COUNTIFS('Input Data Daily'!$K$5:$K$369,$A60,'Input Data Daily'!$D$5:$D$369,"&lt;&gt;")=0,"",AVERAGEIF('Input Data Daily'!$K$5:$K$369,$A60,'Input Data Daily'!$D$5:$D$369))</f>
        <v/>
      </c>
      <c r="G60" s="45">
        <f t="shared" si="8"/>
        <v>205</v>
      </c>
      <c r="H60" s="43" t="str">
        <f>IF(COUNTIFS('Input Data Daily'!$K$5:$K$369,$A60,'Input Data Daily'!$E$5:$E$369,"&lt;&gt;")=0,"",AVERAGEIF('Input Data Daily'!$K$5:$K$369,$A60,'Input Data Daily'!$E$5:$E$369))</f>
        <v/>
      </c>
      <c r="I60" s="43">
        <f t="shared" si="9"/>
        <v>7.5</v>
      </c>
      <c r="J60" s="43" t="str">
        <f>IF(COUNTIFS('Input Data Daily'!$K$5:$K$369,$A60,'Input Data Daily'!$F$5:$F$369,"&lt;&gt;")=0,"",AVERAGEIF('Input Data Daily'!$K$5:$K$369,$A60,'Input Data Daily'!$F$5:$F$369))</f>
        <v/>
      </c>
      <c r="K60" s="43">
        <f t="shared" si="10"/>
        <v>1.55</v>
      </c>
      <c r="L60" s="43" t="str">
        <f>IF(COUNTIFS('Input Data Daily'!$K$5:$K$369,$A60,'Input Data Daily'!$H$5:$H$369,"&lt;&gt;")=0,"",AVERAGEIF('Input Data Daily'!$K$5:$K$369,$A60,'Input Data Daily'!$H$5:$H$369))</f>
        <v/>
      </c>
      <c r="M60" s="43">
        <f t="shared" si="11"/>
        <v>2.7</v>
      </c>
      <c r="N60" s="47">
        <f>SUMIF('Input Data Daily'!$K$5:$K$369,$A60,'Input Data Daily'!$I$5:$I$369)</f>
        <v>0</v>
      </c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</row>
    <row r="61" spans="1:35" x14ac:dyDescent="0.35">
      <c r="A61" s="39" t="str">
        <f>INDEX('Input Data Daily'!$K$5:$K$369,(ROW()-15)*7+1)</f>
        <v>W47</v>
      </c>
      <c r="B61" s="41" t="str">
        <f>IF(COUNTIFS('Input Data Daily'!$K$5:$K$369,$A61,'Input Data Daily'!$B$5:$B$369,"&lt;&gt;")=0,"",AVERAGEIF('Input Data Daily'!$K$5:$K$369,$A61,'Input Data Daily'!$B$5:$B$369))</f>
        <v/>
      </c>
      <c r="C61" s="41">
        <f t="shared" si="6"/>
        <v>0.93</v>
      </c>
      <c r="D61" s="41" t="str">
        <f>IF(COUNTIFS('Input Data Daily'!$K$5:$K$369,$A61,'Input Data Daily'!$C$5:$C$369,"&lt;&gt;")=0,"",AVERAGEIF('Input Data Daily'!$K$5:$K$369,$A61,'Input Data Daily'!$C$5:$C$369))</f>
        <v/>
      </c>
      <c r="E61" s="41">
        <f t="shared" si="7"/>
        <v>0.88</v>
      </c>
      <c r="F61" s="45" t="str">
        <f>IF(COUNTIFS('Input Data Daily'!$K$5:$K$369,$A61,'Input Data Daily'!$D$5:$D$369,"&lt;&gt;")=0,"",AVERAGEIF('Input Data Daily'!$K$5:$K$369,$A61,'Input Data Daily'!$D$5:$D$369))</f>
        <v/>
      </c>
      <c r="G61" s="45">
        <f t="shared" si="8"/>
        <v>205</v>
      </c>
      <c r="H61" s="43" t="str">
        <f>IF(COUNTIFS('Input Data Daily'!$K$5:$K$369,$A61,'Input Data Daily'!$E$5:$E$369,"&lt;&gt;")=0,"",AVERAGEIF('Input Data Daily'!$K$5:$K$369,$A61,'Input Data Daily'!$E$5:$E$369))</f>
        <v/>
      </c>
      <c r="I61" s="43">
        <f t="shared" si="9"/>
        <v>7.5</v>
      </c>
      <c r="J61" s="43" t="str">
        <f>IF(COUNTIFS('Input Data Daily'!$K$5:$K$369,$A61,'Input Data Daily'!$F$5:$F$369,"&lt;&gt;")=0,"",AVERAGEIF('Input Data Daily'!$K$5:$K$369,$A61,'Input Data Daily'!$F$5:$F$369))</f>
        <v/>
      </c>
      <c r="K61" s="43">
        <f t="shared" si="10"/>
        <v>1.55</v>
      </c>
      <c r="L61" s="43" t="str">
        <f>IF(COUNTIFS('Input Data Daily'!$K$5:$K$369,$A61,'Input Data Daily'!$H$5:$H$369,"&lt;&gt;")=0,"",AVERAGEIF('Input Data Daily'!$K$5:$K$369,$A61,'Input Data Daily'!$H$5:$H$369))</f>
        <v/>
      </c>
      <c r="M61" s="43">
        <f t="shared" si="11"/>
        <v>2.7</v>
      </c>
      <c r="N61" s="47">
        <f>SUMIF('Input Data Daily'!$K$5:$K$369,$A61,'Input Data Daily'!$I$5:$I$369)</f>
        <v>0</v>
      </c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</row>
    <row r="62" spans="1:35" x14ac:dyDescent="0.35">
      <c r="A62" s="39" t="str">
        <f>INDEX('Input Data Daily'!$K$5:$K$369,(ROW()-15)*7+1)</f>
        <v>W48</v>
      </c>
      <c r="B62" s="41" t="str">
        <f>IF(COUNTIFS('Input Data Daily'!$K$5:$K$369,$A62,'Input Data Daily'!$B$5:$B$369,"&lt;&gt;")=0,"",AVERAGEIF('Input Data Daily'!$K$5:$K$369,$A62,'Input Data Daily'!$B$5:$B$369))</f>
        <v/>
      </c>
      <c r="C62" s="41">
        <f t="shared" si="6"/>
        <v>0.93</v>
      </c>
      <c r="D62" s="41" t="str">
        <f>IF(COUNTIFS('Input Data Daily'!$K$5:$K$369,$A62,'Input Data Daily'!$C$5:$C$369,"&lt;&gt;")=0,"",AVERAGEIF('Input Data Daily'!$K$5:$K$369,$A62,'Input Data Daily'!$C$5:$C$369))</f>
        <v/>
      </c>
      <c r="E62" s="41">
        <f t="shared" si="7"/>
        <v>0.88</v>
      </c>
      <c r="F62" s="45" t="str">
        <f>IF(COUNTIFS('Input Data Daily'!$K$5:$K$369,$A62,'Input Data Daily'!$D$5:$D$369,"&lt;&gt;")=0,"",AVERAGEIF('Input Data Daily'!$K$5:$K$369,$A62,'Input Data Daily'!$D$5:$D$369))</f>
        <v/>
      </c>
      <c r="G62" s="45">
        <f t="shared" si="8"/>
        <v>205</v>
      </c>
      <c r="H62" s="43" t="str">
        <f>IF(COUNTIFS('Input Data Daily'!$K$5:$K$369,$A62,'Input Data Daily'!$E$5:$E$369,"&lt;&gt;")=0,"",AVERAGEIF('Input Data Daily'!$K$5:$K$369,$A62,'Input Data Daily'!$E$5:$E$369))</f>
        <v/>
      </c>
      <c r="I62" s="43">
        <f t="shared" si="9"/>
        <v>7.5</v>
      </c>
      <c r="J62" s="43" t="str">
        <f>IF(COUNTIFS('Input Data Daily'!$K$5:$K$369,$A62,'Input Data Daily'!$F$5:$F$369,"&lt;&gt;")=0,"",AVERAGEIF('Input Data Daily'!$K$5:$K$369,$A62,'Input Data Daily'!$F$5:$F$369))</f>
        <v/>
      </c>
      <c r="K62" s="43">
        <f t="shared" si="10"/>
        <v>1.55</v>
      </c>
      <c r="L62" s="43" t="str">
        <f>IF(COUNTIFS('Input Data Daily'!$K$5:$K$369,$A62,'Input Data Daily'!$H$5:$H$369,"&lt;&gt;")=0,"",AVERAGEIF('Input Data Daily'!$K$5:$K$369,$A62,'Input Data Daily'!$H$5:$H$369))</f>
        <v/>
      </c>
      <c r="M62" s="43">
        <f t="shared" si="11"/>
        <v>2.7</v>
      </c>
      <c r="N62" s="47">
        <f>SUMIF('Input Data Daily'!$K$5:$K$369,$A62,'Input Data Daily'!$I$5:$I$369)</f>
        <v>0</v>
      </c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</row>
    <row r="63" spans="1:35" x14ac:dyDescent="0.35">
      <c r="A63" s="39" t="str">
        <f>INDEX('Input Data Daily'!$K$5:$K$369,(ROW()-15)*7+1)</f>
        <v>W49</v>
      </c>
      <c r="B63" s="41" t="str">
        <f>IF(COUNTIFS('Input Data Daily'!$K$5:$K$369,$A63,'Input Data Daily'!$B$5:$B$369,"&lt;&gt;")=0,"",AVERAGEIF('Input Data Daily'!$K$5:$K$369,$A63,'Input Data Daily'!$B$5:$B$369))</f>
        <v/>
      </c>
      <c r="C63" s="41">
        <f t="shared" si="6"/>
        <v>0.93</v>
      </c>
      <c r="D63" s="41" t="str">
        <f>IF(COUNTIFS('Input Data Daily'!$K$5:$K$369,$A63,'Input Data Daily'!$C$5:$C$369,"&lt;&gt;")=0,"",AVERAGEIF('Input Data Daily'!$K$5:$K$369,$A63,'Input Data Daily'!$C$5:$C$369))</f>
        <v/>
      </c>
      <c r="E63" s="41">
        <f t="shared" si="7"/>
        <v>0.88</v>
      </c>
      <c r="F63" s="45" t="str">
        <f>IF(COUNTIFS('Input Data Daily'!$K$5:$K$369,$A63,'Input Data Daily'!$D$5:$D$369,"&lt;&gt;")=0,"",AVERAGEIF('Input Data Daily'!$K$5:$K$369,$A63,'Input Data Daily'!$D$5:$D$369))</f>
        <v/>
      </c>
      <c r="G63" s="45">
        <f t="shared" si="8"/>
        <v>205</v>
      </c>
      <c r="H63" s="43" t="str">
        <f>IF(COUNTIFS('Input Data Daily'!$K$5:$K$369,$A63,'Input Data Daily'!$E$5:$E$369,"&lt;&gt;")=0,"",AVERAGEIF('Input Data Daily'!$K$5:$K$369,$A63,'Input Data Daily'!$E$5:$E$369))</f>
        <v/>
      </c>
      <c r="I63" s="43">
        <f t="shared" si="9"/>
        <v>7.5</v>
      </c>
      <c r="J63" s="43" t="str">
        <f>IF(COUNTIFS('Input Data Daily'!$K$5:$K$369,$A63,'Input Data Daily'!$F$5:$F$369,"&lt;&gt;")=0,"",AVERAGEIF('Input Data Daily'!$K$5:$K$369,$A63,'Input Data Daily'!$F$5:$F$369))</f>
        <v/>
      </c>
      <c r="K63" s="43">
        <f t="shared" si="10"/>
        <v>1.55</v>
      </c>
      <c r="L63" s="43" t="str">
        <f>IF(COUNTIFS('Input Data Daily'!$K$5:$K$369,$A63,'Input Data Daily'!$H$5:$H$369,"&lt;&gt;")=0,"",AVERAGEIF('Input Data Daily'!$K$5:$K$369,$A63,'Input Data Daily'!$H$5:$H$369))</f>
        <v/>
      </c>
      <c r="M63" s="43">
        <f t="shared" si="11"/>
        <v>2.7</v>
      </c>
      <c r="N63" s="47">
        <f>SUMIF('Input Data Daily'!$K$5:$K$369,$A63,'Input Data Daily'!$I$5:$I$369)</f>
        <v>0</v>
      </c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</row>
    <row r="64" spans="1:35" x14ac:dyDescent="0.35">
      <c r="A64" s="39" t="str">
        <f>INDEX('Input Data Daily'!$K$5:$K$369,(ROW()-15)*7+1)</f>
        <v>W50</v>
      </c>
      <c r="B64" s="41" t="str">
        <f>IF(COUNTIFS('Input Data Daily'!$K$5:$K$369,$A64,'Input Data Daily'!$B$5:$B$369,"&lt;&gt;")=0,"",AVERAGEIF('Input Data Daily'!$K$5:$K$369,$A64,'Input Data Daily'!$B$5:$B$369))</f>
        <v/>
      </c>
      <c r="C64" s="41">
        <f t="shared" si="6"/>
        <v>0.93</v>
      </c>
      <c r="D64" s="41" t="str">
        <f>IF(COUNTIFS('Input Data Daily'!$K$5:$K$369,$A64,'Input Data Daily'!$C$5:$C$369,"&lt;&gt;")=0,"",AVERAGEIF('Input Data Daily'!$K$5:$K$369,$A64,'Input Data Daily'!$C$5:$C$369))</f>
        <v/>
      </c>
      <c r="E64" s="41">
        <f t="shared" si="7"/>
        <v>0.88</v>
      </c>
      <c r="F64" s="45" t="str">
        <f>IF(COUNTIFS('Input Data Daily'!$K$5:$K$369,$A64,'Input Data Daily'!$D$5:$D$369,"&lt;&gt;")=0,"",AVERAGEIF('Input Data Daily'!$K$5:$K$369,$A64,'Input Data Daily'!$D$5:$D$369))</f>
        <v/>
      </c>
      <c r="G64" s="45">
        <f t="shared" si="8"/>
        <v>205</v>
      </c>
      <c r="H64" s="43" t="str">
        <f>IF(COUNTIFS('Input Data Daily'!$K$5:$K$369,$A64,'Input Data Daily'!$E$5:$E$369,"&lt;&gt;")=0,"",AVERAGEIF('Input Data Daily'!$K$5:$K$369,$A64,'Input Data Daily'!$E$5:$E$369))</f>
        <v/>
      </c>
      <c r="I64" s="43">
        <f t="shared" si="9"/>
        <v>7.5</v>
      </c>
      <c r="J64" s="43" t="str">
        <f>IF(COUNTIFS('Input Data Daily'!$K$5:$K$369,$A64,'Input Data Daily'!$F$5:$F$369,"&lt;&gt;")=0,"",AVERAGEIF('Input Data Daily'!$K$5:$K$369,$A64,'Input Data Daily'!$F$5:$F$369))</f>
        <v/>
      </c>
      <c r="K64" s="43">
        <f t="shared" si="10"/>
        <v>1.55</v>
      </c>
      <c r="L64" s="43" t="str">
        <f>IF(COUNTIFS('Input Data Daily'!$K$5:$K$369,$A64,'Input Data Daily'!$H$5:$H$369,"&lt;&gt;")=0,"",AVERAGEIF('Input Data Daily'!$K$5:$K$369,$A64,'Input Data Daily'!$H$5:$H$369))</f>
        <v/>
      </c>
      <c r="M64" s="43">
        <f t="shared" si="11"/>
        <v>2.7</v>
      </c>
      <c r="N64" s="47">
        <f>SUMIF('Input Data Daily'!$K$5:$K$369,$A64,'Input Data Daily'!$I$5:$I$369)</f>
        <v>0</v>
      </c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</row>
    <row r="65" spans="1:38" x14ac:dyDescent="0.35">
      <c r="A65" s="39" t="str">
        <f>INDEX('Input Data Daily'!$K$5:$K$369,(ROW()-15)*7+1)</f>
        <v>W51</v>
      </c>
      <c r="B65" s="41" t="str">
        <f>IF(COUNTIFS('Input Data Daily'!$K$5:$K$369,$A65,'Input Data Daily'!$B$5:$B$369,"&lt;&gt;")=0,"",AVERAGEIF('Input Data Daily'!$K$5:$K$369,$A65,'Input Data Daily'!$B$5:$B$369))</f>
        <v/>
      </c>
      <c r="C65" s="41">
        <f t="shared" si="6"/>
        <v>0.93</v>
      </c>
      <c r="D65" s="41" t="str">
        <f>IF(COUNTIFS('Input Data Daily'!$K$5:$K$369,$A65,'Input Data Daily'!$C$5:$C$369,"&lt;&gt;")=0,"",AVERAGEIF('Input Data Daily'!$K$5:$K$369,$A65,'Input Data Daily'!$C$5:$C$369))</f>
        <v/>
      </c>
      <c r="E65" s="41">
        <f t="shared" si="7"/>
        <v>0.88</v>
      </c>
      <c r="F65" s="45" t="str">
        <f>IF(COUNTIFS('Input Data Daily'!$K$5:$K$369,$A65,'Input Data Daily'!$D$5:$D$369,"&lt;&gt;")=0,"",AVERAGEIF('Input Data Daily'!$K$5:$K$369,$A65,'Input Data Daily'!$D$5:$D$369))</f>
        <v/>
      </c>
      <c r="G65" s="45">
        <f t="shared" si="8"/>
        <v>205</v>
      </c>
      <c r="H65" s="43" t="str">
        <f>IF(COUNTIFS('Input Data Daily'!$K$5:$K$369,$A65,'Input Data Daily'!$E$5:$E$369,"&lt;&gt;")=0,"",AVERAGEIF('Input Data Daily'!$K$5:$K$369,$A65,'Input Data Daily'!$E$5:$E$369))</f>
        <v/>
      </c>
      <c r="I65" s="43">
        <f t="shared" si="9"/>
        <v>7.5</v>
      </c>
      <c r="J65" s="43" t="str">
        <f>IF(COUNTIFS('Input Data Daily'!$K$5:$K$369,$A65,'Input Data Daily'!$F$5:$F$369,"&lt;&gt;")=0,"",AVERAGEIF('Input Data Daily'!$K$5:$K$369,$A65,'Input Data Daily'!$F$5:$F$369))</f>
        <v/>
      </c>
      <c r="K65" s="43">
        <f t="shared" si="10"/>
        <v>1.55</v>
      </c>
      <c r="L65" s="43" t="str">
        <f>IF(COUNTIFS('Input Data Daily'!$K$5:$K$369,$A65,'Input Data Daily'!$H$5:$H$369,"&lt;&gt;")=0,"",AVERAGEIF('Input Data Daily'!$K$5:$K$369,$A65,'Input Data Daily'!$H$5:$H$369))</f>
        <v/>
      </c>
      <c r="M65" s="43">
        <f t="shared" si="11"/>
        <v>2.7</v>
      </c>
      <c r="N65" s="47">
        <f>SUMIF('Input Data Daily'!$K$5:$K$369,$A65,'Input Data Daily'!$I$5:$I$369)</f>
        <v>0</v>
      </c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</row>
    <row r="66" spans="1:38" x14ac:dyDescent="0.35">
      <c r="A66" s="39" t="str">
        <f>INDEX('Input Data Daily'!$K$5:$K$369,(ROW()-15)*7+1)</f>
        <v>W52</v>
      </c>
      <c r="B66" s="41" t="str">
        <f>IF(COUNTIFS('Input Data Daily'!$K$5:$K$369,$A66,'Input Data Daily'!$B$5:$B$369,"&lt;&gt;")=0,"",AVERAGEIF('Input Data Daily'!$K$5:$K$369,$A66,'Input Data Daily'!$B$5:$B$369))</f>
        <v/>
      </c>
      <c r="C66" s="41">
        <f t="shared" si="6"/>
        <v>0.93</v>
      </c>
      <c r="D66" s="41" t="str">
        <f>IF(COUNTIFS('Input Data Daily'!$K$5:$K$369,$A66,'Input Data Daily'!$C$5:$C$369,"&lt;&gt;")=0,"",AVERAGEIF('Input Data Daily'!$K$5:$K$369,$A66,'Input Data Daily'!$C$5:$C$369))</f>
        <v/>
      </c>
      <c r="E66" s="41">
        <f t="shared" si="7"/>
        <v>0.88</v>
      </c>
      <c r="F66" s="45" t="str">
        <f>IF(COUNTIFS('Input Data Daily'!$K$5:$K$369,$A66,'Input Data Daily'!$D$5:$D$369,"&lt;&gt;")=0,"",AVERAGEIF('Input Data Daily'!$K$5:$K$369,$A66,'Input Data Daily'!$D$5:$D$369))</f>
        <v/>
      </c>
      <c r="G66" s="45">
        <f t="shared" si="8"/>
        <v>205</v>
      </c>
      <c r="H66" s="43" t="str">
        <f>IF(COUNTIFS('Input Data Daily'!$K$5:$K$369,$A66,'Input Data Daily'!$E$5:$E$369,"&lt;&gt;")=0,"",AVERAGEIF('Input Data Daily'!$K$5:$K$369,$A66,'Input Data Daily'!$E$5:$E$369))</f>
        <v/>
      </c>
      <c r="I66" s="43">
        <f t="shared" si="9"/>
        <v>7.5</v>
      </c>
      <c r="J66" s="43" t="str">
        <f>IF(COUNTIFS('Input Data Daily'!$K$5:$K$369,$A66,'Input Data Daily'!$F$5:$F$369,"&lt;&gt;")=0,"",AVERAGEIF('Input Data Daily'!$K$5:$K$369,$A66,'Input Data Daily'!$F$5:$F$369))</f>
        <v/>
      </c>
      <c r="K66" s="43">
        <f t="shared" si="10"/>
        <v>1.55</v>
      </c>
      <c r="L66" s="43" t="str">
        <f>IF(COUNTIFS('Input Data Daily'!$K$5:$K$369,$A66,'Input Data Daily'!$H$5:$H$369,"&lt;&gt;")=0,"",AVERAGEIF('Input Data Daily'!$K$5:$K$369,$A66,'Input Data Daily'!$H$5:$H$369))</f>
        <v/>
      </c>
      <c r="M66" s="43">
        <f t="shared" si="11"/>
        <v>2.7</v>
      </c>
      <c r="N66" s="47">
        <f>SUMIF('Input Data Daily'!$K$5:$K$369,$A66,'Input Data Daily'!$I$5:$I$369)</f>
        <v>0</v>
      </c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</row>
    <row r="67" spans="1:38" x14ac:dyDescent="0.35">
      <c r="A67" s="40" t="str">
        <f>INDEX('Input Data Daily'!$K$5:$K$369,(ROW()-15)*7+1)</f>
        <v>W53</v>
      </c>
      <c r="B67" s="42" t="str">
        <f>IF(COUNTIFS('Input Data Daily'!$K$5:$K$369,$A67,'Input Data Daily'!$B$5:$B$369,"&lt;&gt;")=0,"",AVERAGEIF('Input Data Daily'!$K$5:$K$369,$A67,'Input Data Daily'!$B$5:$B$369))</f>
        <v/>
      </c>
      <c r="C67" s="42">
        <f t="shared" si="6"/>
        <v>0.93</v>
      </c>
      <c r="D67" s="42" t="str">
        <f>IF(COUNTIFS('Input Data Daily'!$K$5:$K$369,$A67,'Input Data Daily'!$C$5:$C$369,"&lt;&gt;")=0,"",AVERAGEIF('Input Data Daily'!$K$5:$K$369,$A67,'Input Data Daily'!$C$5:$C$369))</f>
        <v/>
      </c>
      <c r="E67" s="42">
        <f t="shared" si="7"/>
        <v>0.88</v>
      </c>
      <c r="F67" s="46" t="str">
        <f>IF(COUNTIFS('Input Data Daily'!$K$5:$K$369,$A67,'Input Data Daily'!$D$5:$D$369,"&lt;&gt;")=0,"",AVERAGEIF('Input Data Daily'!$K$5:$K$369,$A67,'Input Data Daily'!$D$5:$D$369))</f>
        <v/>
      </c>
      <c r="G67" s="46">
        <f t="shared" si="8"/>
        <v>205</v>
      </c>
      <c r="H67" s="44" t="str">
        <f>IF(COUNTIFS('Input Data Daily'!$K$5:$K$369,$A67,'Input Data Daily'!$E$5:$E$369,"&lt;&gt;")=0,"",AVERAGEIF('Input Data Daily'!$K$5:$K$369,$A67,'Input Data Daily'!$E$5:$E$369))</f>
        <v/>
      </c>
      <c r="I67" s="44">
        <f t="shared" si="9"/>
        <v>7.5</v>
      </c>
      <c r="J67" s="44" t="str">
        <f>IF(COUNTIFS('Input Data Daily'!$K$5:$K$369,$A67,'Input Data Daily'!$F$5:$F$369,"&lt;&gt;")=0,"",AVERAGEIF('Input Data Daily'!$K$5:$K$369,$A67,'Input Data Daily'!$F$5:$F$369))</f>
        <v/>
      </c>
      <c r="K67" s="44">
        <f t="shared" si="10"/>
        <v>1.55</v>
      </c>
      <c r="L67" s="44" t="str">
        <f>IF(COUNTIFS('Input Data Daily'!$K$5:$K$369,$A67,'Input Data Daily'!$H$5:$H$369,"&lt;&gt;")=0,"",AVERAGEIF('Input Data Daily'!$K$5:$K$369,$A67,'Input Data Daily'!$H$5:$H$369))</f>
        <v/>
      </c>
      <c r="M67" s="44">
        <f t="shared" si="11"/>
        <v>2.7</v>
      </c>
      <c r="N67" s="48">
        <f>SUMIF('Input Data Daily'!$K$5:$K$369,$A67,'Input Data Daily'!$I$5:$I$369)</f>
        <v>0</v>
      </c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</row>
    <row r="70" spans="1:38" x14ac:dyDescent="0.35">
      <c r="A70" s="49" t="s">
        <v>29</v>
      </c>
      <c r="B70" s="49" t="s">
        <v>46</v>
      </c>
      <c r="C70" s="49" t="s">
        <v>30</v>
      </c>
      <c r="P70" s="37" t="s">
        <v>14</v>
      </c>
      <c r="Q70" s="37" t="s">
        <v>34</v>
      </c>
      <c r="R70" s="37" t="s">
        <v>35</v>
      </c>
      <c r="T70" s="37" t="s">
        <v>14</v>
      </c>
      <c r="U70" s="37" t="s">
        <v>36</v>
      </c>
      <c r="V70" s="37" t="s">
        <v>37</v>
      </c>
      <c r="X70" s="37" t="s">
        <v>14</v>
      </c>
      <c r="Y70" s="37" t="s">
        <v>38</v>
      </c>
      <c r="Z70" s="37" t="s">
        <v>39</v>
      </c>
      <c r="AB70" s="37" t="s">
        <v>14</v>
      </c>
      <c r="AC70" s="37" t="s">
        <v>40</v>
      </c>
      <c r="AD70" s="37" t="s">
        <v>41</v>
      </c>
      <c r="AF70" s="37" t="s">
        <v>14</v>
      </c>
      <c r="AG70" s="37" t="s">
        <v>42</v>
      </c>
      <c r="AH70" s="37" t="s">
        <v>43</v>
      </c>
      <c r="AJ70" s="37" t="s">
        <v>14</v>
      </c>
      <c r="AK70" s="37" t="s">
        <v>44</v>
      </c>
      <c r="AL70" s="37" t="s">
        <v>45</v>
      </c>
    </row>
    <row r="71" spans="1:38" x14ac:dyDescent="0.35">
      <c r="A71" t="s">
        <v>47</v>
      </c>
      <c r="B71" s="35">
        <f>SUMIFS('Input Data Daily'!$I$5:$I$369,'Input Data Daily'!$A$5:$A$369,"&gt;="&amp;DATE(2026,ROW()-70,1),'Input Data Daily'!$A$5:$A$369,"&lt;"&amp;EDATE(DATE(2026,ROW()-70,1),1))</f>
        <v>0</v>
      </c>
      <c r="C71" s="35">
        <f t="shared" ref="C71:C82" si="12">SUMIF($D$5:$D$7,DATE(2026,ROW()-70,1),$E$5:$E$7)</f>
        <v>0</v>
      </c>
      <c r="P71" t="str">
        <f t="shared" ref="P71:P102" si="13">A15</f>
        <v>W01</v>
      </c>
      <c r="Q71" t="str">
        <f t="shared" ref="Q71:Q102" si="14">B15</f>
        <v/>
      </c>
      <c r="R71">
        <f t="shared" ref="R71:R102" si="15">C15</f>
        <v>0.93</v>
      </c>
      <c r="T71" t="str">
        <f t="shared" ref="T71:T102" si="16">A15</f>
        <v>W01</v>
      </c>
      <c r="U71" t="str">
        <f t="shared" ref="U71:U102" si="17">D15</f>
        <v/>
      </c>
      <c r="V71">
        <f t="shared" ref="V71:V102" si="18">E15</f>
        <v>0.88</v>
      </c>
      <c r="X71" t="str">
        <f t="shared" ref="X71:X102" si="19">A15</f>
        <v>W01</v>
      </c>
      <c r="Y71" t="str">
        <f t="shared" ref="Y71:Y102" si="20">F15</f>
        <v/>
      </c>
      <c r="Z71">
        <f t="shared" ref="Z71:Z102" si="21">G15</f>
        <v>205</v>
      </c>
      <c r="AB71" t="str">
        <f t="shared" ref="AB71:AB102" si="22">A15</f>
        <v>W01</v>
      </c>
      <c r="AC71" t="str">
        <f t="shared" ref="AC71:AC102" si="23">H15</f>
        <v/>
      </c>
      <c r="AD71">
        <f t="shared" ref="AD71:AD102" si="24">I15</f>
        <v>7.5</v>
      </c>
      <c r="AF71" t="str">
        <f t="shared" ref="AF71:AF102" si="25">A15</f>
        <v>W01</v>
      </c>
      <c r="AG71" t="str">
        <f t="shared" ref="AG71:AG102" si="26">J15</f>
        <v/>
      </c>
      <c r="AH71">
        <f t="shared" ref="AH71:AH102" si="27">K15</f>
        <v>1.55</v>
      </c>
      <c r="AJ71" t="str">
        <f t="shared" ref="AJ71:AJ102" si="28">A15</f>
        <v>W01</v>
      </c>
      <c r="AK71" t="str">
        <f t="shared" ref="AK71:AK102" si="29">L15</f>
        <v/>
      </c>
      <c r="AL71">
        <f t="shared" ref="AL71:AL102" si="30">M15</f>
        <v>2.7</v>
      </c>
    </row>
    <row r="72" spans="1:38" x14ac:dyDescent="0.35">
      <c r="A72" t="s">
        <v>48</v>
      </c>
      <c r="B72" s="35">
        <f>SUMIFS('Input Data Daily'!$I$5:$I$369,'Input Data Daily'!$A$5:$A$369,"&gt;="&amp;DATE(2026,ROW()-70,1),'Input Data Daily'!$A$5:$A$369,"&lt;"&amp;EDATE(DATE(2026,ROW()-70,1),1))</f>
        <v>0</v>
      </c>
      <c r="C72" s="35">
        <f t="shared" si="12"/>
        <v>0</v>
      </c>
      <c r="P72" t="str">
        <f t="shared" si="13"/>
        <v>W02</v>
      </c>
      <c r="Q72" t="str">
        <f t="shared" si="14"/>
        <v/>
      </c>
      <c r="R72">
        <f t="shared" si="15"/>
        <v>0.93</v>
      </c>
      <c r="T72" t="str">
        <f t="shared" si="16"/>
        <v>W02</v>
      </c>
      <c r="U72" t="str">
        <f t="shared" si="17"/>
        <v/>
      </c>
      <c r="V72">
        <f t="shared" si="18"/>
        <v>0.88</v>
      </c>
      <c r="X72" t="str">
        <f t="shared" si="19"/>
        <v>W02</v>
      </c>
      <c r="Y72" t="str">
        <f t="shared" si="20"/>
        <v/>
      </c>
      <c r="Z72">
        <f t="shared" si="21"/>
        <v>205</v>
      </c>
      <c r="AB72" t="str">
        <f t="shared" si="22"/>
        <v>W02</v>
      </c>
      <c r="AC72" t="str">
        <f t="shared" si="23"/>
        <v/>
      </c>
      <c r="AD72">
        <f t="shared" si="24"/>
        <v>7.5</v>
      </c>
      <c r="AF72" t="str">
        <f t="shared" si="25"/>
        <v>W02</v>
      </c>
      <c r="AG72" t="str">
        <f t="shared" si="26"/>
        <v/>
      </c>
      <c r="AH72">
        <f t="shared" si="27"/>
        <v>1.55</v>
      </c>
      <c r="AJ72" t="str">
        <f t="shared" si="28"/>
        <v>W02</v>
      </c>
      <c r="AK72" t="str">
        <f t="shared" si="29"/>
        <v/>
      </c>
      <c r="AL72">
        <f t="shared" si="30"/>
        <v>2.7</v>
      </c>
    </row>
    <row r="73" spans="1:38" x14ac:dyDescent="0.35">
      <c r="A73" t="s">
        <v>49</v>
      </c>
      <c r="B73" s="35">
        <f>SUMIFS('Input Data Daily'!$I$5:$I$369,'Input Data Daily'!$A$5:$A$369,"&gt;="&amp;DATE(2026,ROW()-70,1),'Input Data Daily'!$A$5:$A$369,"&lt;"&amp;EDATE(DATE(2026,ROW()-70,1),1))</f>
        <v>0</v>
      </c>
      <c r="C73" s="35">
        <f t="shared" si="12"/>
        <v>0</v>
      </c>
      <c r="P73" t="str">
        <f t="shared" si="13"/>
        <v>W03</v>
      </c>
      <c r="Q73" t="str">
        <f t="shared" si="14"/>
        <v/>
      </c>
      <c r="R73">
        <f t="shared" si="15"/>
        <v>0.93</v>
      </c>
      <c r="T73" t="str">
        <f t="shared" si="16"/>
        <v>W03</v>
      </c>
      <c r="U73" t="str">
        <f t="shared" si="17"/>
        <v/>
      </c>
      <c r="V73">
        <f t="shared" si="18"/>
        <v>0.88</v>
      </c>
      <c r="X73" t="str">
        <f t="shared" si="19"/>
        <v>W03</v>
      </c>
      <c r="Y73" t="str">
        <f t="shared" si="20"/>
        <v/>
      </c>
      <c r="Z73">
        <f t="shared" si="21"/>
        <v>205</v>
      </c>
      <c r="AB73" t="str">
        <f t="shared" si="22"/>
        <v>W03</v>
      </c>
      <c r="AC73" t="str">
        <f t="shared" si="23"/>
        <v/>
      </c>
      <c r="AD73">
        <f t="shared" si="24"/>
        <v>7.5</v>
      </c>
      <c r="AF73" t="str">
        <f t="shared" si="25"/>
        <v>W03</v>
      </c>
      <c r="AG73" t="str">
        <f t="shared" si="26"/>
        <v/>
      </c>
      <c r="AH73">
        <f t="shared" si="27"/>
        <v>1.55</v>
      </c>
      <c r="AJ73" t="str">
        <f t="shared" si="28"/>
        <v>W03</v>
      </c>
      <c r="AK73" t="str">
        <f t="shared" si="29"/>
        <v/>
      </c>
      <c r="AL73">
        <f t="shared" si="30"/>
        <v>2.7</v>
      </c>
    </row>
    <row r="74" spans="1:38" x14ac:dyDescent="0.35">
      <c r="A74" t="s">
        <v>50</v>
      </c>
      <c r="B74" s="35">
        <f>SUMIFS('Input Data Daily'!$I$5:$I$369,'Input Data Daily'!$A$5:$A$369,"&gt;="&amp;DATE(2026,ROW()-70,1),'Input Data Daily'!$A$5:$A$369,"&lt;"&amp;EDATE(DATE(2026,ROW()-70,1),1))</f>
        <v>0</v>
      </c>
      <c r="C74" s="35">
        <f t="shared" si="12"/>
        <v>0</v>
      </c>
      <c r="P74" t="str">
        <f t="shared" si="13"/>
        <v>W04</v>
      </c>
      <c r="Q74" t="str">
        <f t="shared" si="14"/>
        <v/>
      </c>
      <c r="R74">
        <f t="shared" si="15"/>
        <v>0.93</v>
      </c>
      <c r="T74" t="str">
        <f t="shared" si="16"/>
        <v>W04</v>
      </c>
      <c r="U74" t="str">
        <f t="shared" si="17"/>
        <v/>
      </c>
      <c r="V74">
        <f t="shared" si="18"/>
        <v>0.88</v>
      </c>
      <c r="X74" t="str">
        <f t="shared" si="19"/>
        <v>W04</v>
      </c>
      <c r="Y74" t="str">
        <f t="shared" si="20"/>
        <v/>
      </c>
      <c r="Z74">
        <f t="shared" si="21"/>
        <v>205</v>
      </c>
      <c r="AB74" t="str">
        <f t="shared" si="22"/>
        <v>W04</v>
      </c>
      <c r="AC74" t="str">
        <f t="shared" si="23"/>
        <v/>
      </c>
      <c r="AD74">
        <f t="shared" si="24"/>
        <v>7.5</v>
      </c>
      <c r="AF74" t="str">
        <f t="shared" si="25"/>
        <v>W04</v>
      </c>
      <c r="AG74" t="str">
        <f t="shared" si="26"/>
        <v/>
      </c>
      <c r="AH74">
        <f t="shared" si="27"/>
        <v>1.55</v>
      </c>
      <c r="AJ74" t="str">
        <f t="shared" si="28"/>
        <v>W04</v>
      </c>
      <c r="AK74" t="str">
        <f t="shared" si="29"/>
        <v/>
      </c>
      <c r="AL74">
        <f t="shared" si="30"/>
        <v>2.7</v>
      </c>
    </row>
    <row r="75" spans="1:38" x14ac:dyDescent="0.35">
      <c r="A75" t="s">
        <v>51</v>
      </c>
      <c r="B75" s="35">
        <f>SUMIFS('Input Data Daily'!$I$5:$I$369,'Input Data Daily'!$A$5:$A$369,"&gt;="&amp;DATE(2026,ROW()-70,1),'Input Data Daily'!$A$5:$A$369,"&lt;"&amp;EDATE(DATE(2026,ROW()-70,1),1))</f>
        <v>0</v>
      </c>
      <c r="C75" s="35">
        <f t="shared" si="12"/>
        <v>0</v>
      </c>
      <c r="P75" t="str">
        <f t="shared" si="13"/>
        <v>W05</v>
      </c>
      <c r="Q75" t="str">
        <f t="shared" si="14"/>
        <v/>
      </c>
      <c r="R75">
        <f t="shared" si="15"/>
        <v>0.93</v>
      </c>
      <c r="T75" t="str">
        <f t="shared" si="16"/>
        <v>W05</v>
      </c>
      <c r="U75" t="str">
        <f t="shared" si="17"/>
        <v/>
      </c>
      <c r="V75">
        <f t="shared" si="18"/>
        <v>0.88</v>
      </c>
      <c r="X75" t="str">
        <f t="shared" si="19"/>
        <v>W05</v>
      </c>
      <c r="Y75" t="str">
        <f t="shared" si="20"/>
        <v/>
      </c>
      <c r="Z75">
        <f t="shared" si="21"/>
        <v>205</v>
      </c>
      <c r="AB75" t="str">
        <f t="shared" si="22"/>
        <v>W05</v>
      </c>
      <c r="AC75" t="str">
        <f t="shared" si="23"/>
        <v/>
      </c>
      <c r="AD75">
        <f t="shared" si="24"/>
        <v>7.5</v>
      </c>
      <c r="AF75" t="str">
        <f t="shared" si="25"/>
        <v>W05</v>
      </c>
      <c r="AG75" t="str">
        <f t="shared" si="26"/>
        <v/>
      </c>
      <c r="AH75">
        <f t="shared" si="27"/>
        <v>1.55</v>
      </c>
      <c r="AJ75" t="str">
        <f t="shared" si="28"/>
        <v>W05</v>
      </c>
      <c r="AK75" t="str">
        <f t="shared" si="29"/>
        <v/>
      </c>
      <c r="AL75">
        <f t="shared" si="30"/>
        <v>2.7</v>
      </c>
    </row>
    <row r="76" spans="1:38" x14ac:dyDescent="0.35">
      <c r="A76" t="s">
        <v>52</v>
      </c>
      <c r="B76" s="35">
        <f>SUMIFS('Input Data Daily'!$I$5:$I$369,'Input Data Daily'!$A$5:$A$369,"&gt;="&amp;DATE(2026,ROW()-70,1),'Input Data Daily'!$A$5:$A$369,"&lt;"&amp;EDATE(DATE(2026,ROW()-70,1),1))</f>
        <v>0</v>
      </c>
      <c r="C76" s="35">
        <f t="shared" si="12"/>
        <v>0</v>
      </c>
      <c r="P76" t="str">
        <f t="shared" si="13"/>
        <v>W06</v>
      </c>
      <c r="Q76" t="str">
        <f t="shared" si="14"/>
        <v/>
      </c>
      <c r="R76">
        <f t="shared" si="15"/>
        <v>0.93</v>
      </c>
      <c r="T76" t="str">
        <f t="shared" si="16"/>
        <v>W06</v>
      </c>
      <c r="U76" t="str">
        <f t="shared" si="17"/>
        <v/>
      </c>
      <c r="V76">
        <f t="shared" si="18"/>
        <v>0.88</v>
      </c>
      <c r="X76" t="str">
        <f t="shared" si="19"/>
        <v>W06</v>
      </c>
      <c r="Y76" t="str">
        <f t="shared" si="20"/>
        <v/>
      </c>
      <c r="Z76">
        <f t="shared" si="21"/>
        <v>205</v>
      </c>
      <c r="AB76" t="str">
        <f t="shared" si="22"/>
        <v>W06</v>
      </c>
      <c r="AC76" t="str">
        <f t="shared" si="23"/>
        <v/>
      </c>
      <c r="AD76">
        <f t="shared" si="24"/>
        <v>7.5</v>
      </c>
      <c r="AF76" t="str">
        <f t="shared" si="25"/>
        <v>W06</v>
      </c>
      <c r="AG76" t="str">
        <f t="shared" si="26"/>
        <v/>
      </c>
      <c r="AH76">
        <f t="shared" si="27"/>
        <v>1.55</v>
      </c>
      <c r="AJ76" t="str">
        <f t="shared" si="28"/>
        <v>W06</v>
      </c>
      <c r="AK76" t="str">
        <f t="shared" si="29"/>
        <v/>
      </c>
      <c r="AL76">
        <f t="shared" si="30"/>
        <v>2.7</v>
      </c>
    </row>
    <row r="77" spans="1:38" x14ac:dyDescent="0.35">
      <c r="A77" t="s">
        <v>53</v>
      </c>
      <c r="B77" s="35">
        <f>SUMIFS('Input Data Daily'!$I$5:$I$369,'Input Data Daily'!$A$5:$A$369,"&gt;="&amp;DATE(2026,ROW()-70,1),'Input Data Daily'!$A$5:$A$369,"&lt;"&amp;EDATE(DATE(2026,ROW()-70,1),1))</f>
        <v>0</v>
      </c>
      <c r="C77" s="35">
        <f t="shared" si="12"/>
        <v>0</v>
      </c>
      <c r="P77" t="str">
        <f t="shared" si="13"/>
        <v>W07</v>
      </c>
      <c r="Q77" t="str">
        <f t="shared" si="14"/>
        <v/>
      </c>
      <c r="R77">
        <f t="shared" si="15"/>
        <v>0.93</v>
      </c>
      <c r="T77" t="str">
        <f t="shared" si="16"/>
        <v>W07</v>
      </c>
      <c r="U77" t="str">
        <f t="shared" si="17"/>
        <v/>
      </c>
      <c r="V77">
        <f t="shared" si="18"/>
        <v>0.88</v>
      </c>
      <c r="X77" t="str">
        <f t="shared" si="19"/>
        <v>W07</v>
      </c>
      <c r="Y77" t="str">
        <f t="shared" si="20"/>
        <v/>
      </c>
      <c r="Z77">
        <f t="shared" si="21"/>
        <v>205</v>
      </c>
      <c r="AB77" t="str">
        <f t="shared" si="22"/>
        <v>W07</v>
      </c>
      <c r="AC77" t="str">
        <f t="shared" si="23"/>
        <v/>
      </c>
      <c r="AD77">
        <f t="shared" si="24"/>
        <v>7.5</v>
      </c>
      <c r="AF77" t="str">
        <f t="shared" si="25"/>
        <v>W07</v>
      </c>
      <c r="AG77" t="str">
        <f t="shared" si="26"/>
        <v/>
      </c>
      <c r="AH77">
        <f t="shared" si="27"/>
        <v>1.55</v>
      </c>
      <c r="AJ77" t="str">
        <f t="shared" si="28"/>
        <v>W07</v>
      </c>
      <c r="AK77" t="str">
        <f t="shared" si="29"/>
        <v/>
      </c>
      <c r="AL77">
        <f t="shared" si="30"/>
        <v>2.7</v>
      </c>
    </row>
    <row r="78" spans="1:38" x14ac:dyDescent="0.35">
      <c r="A78" t="s">
        <v>54</v>
      </c>
      <c r="B78" s="35">
        <f>SUMIFS('Input Data Daily'!$I$5:$I$369,'Input Data Daily'!$A$5:$A$369,"&gt;="&amp;DATE(2026,ROW()-70,1),'Input Data Daily'!$A$5:$A$369,"&lt;"&amp;EDATE(DATE(2026,ROW()-70,1),1))</f>
        <v>74558</v>
      </c>
      <c r="C78" s="35">
        <f t="shared" si="12"/>
        <v>32000</v>
      </c>
      <c r="P78" t="str">
        <f t="shared" si="13"/>
        <v>W08</v>
      </c>
      <c r="Q78" t="str">
        <f t="shared" si="14"/>
        <v/>
      </c>
      <c r="R78">
        <f t="shared" si="15"/>
        <v>0.93</v>
      </c>
      <c r="T78" t="str">
        <f t="shared" si="16"/>
        <v>W08</v>
      </c>
      <c r="U78" t="str">
        <f t="shared" si="17"/>
        <v/>
      </c>
      <c r="V78">
        <f t="shared" si="18"/>
        <v>0.88</v>
      </c>
      <c r="X78" t="str">
        <f t="shared" si="19"/>
        <v>W08</v>
      </c>
      <c r="Y78" t="str">
        <f t="shared" si="20"/>
        <v/>
      </c>
      <c r="Z78">
        <f t="shared" si="21"/>
        <v>205</v>
      </c>
      <c r="AB78" t="str">
        <f t="shared" si="22"/>
        <v>W08</v>
      </c>
      <c r="AC78" t="str">
        <f t="shared" si="23"/>
        <v/>
      </c>
      <c r="AD78">
        <f t="shared" si="24"/>
        <v>7.5</v>
      </c>
      <c r="AF78" t="str">
        <f t="shared" si="25"/>
        <v>W08</v>
      </c>
      <c r="AG78" t="str">
        <f t="shared" si="26"/>
        <v/>
      </c>
      <c r="AH78">
        <f t="shared" si="27"/>
        <v>1.55</v>
      </c>
      <c r="AJ78" t="str">
        <f t="shared" si="28"/>
        <v>W08</v>
      </c>
      <c r="AK78" t="str">
        <f t="shared" si="29"/>
        <v/>
      </c>
      <c r="AL78">
        <f t="shared" si="30"/>
        <v>2.7</v>
      </c>
    </row>
    <row r="79" spans="1:38" x14ac:dyDescent="0.35">
      <c r="A79" t="s">
        <v>55</v>
      </c>
      <c r="B79" s="35">
        <f>SUMIFS('Input Data Daily'!$I$5:$I$369,'Input Data Daily'!$A$5:$A$369,"&gt;="&amp;DATE(2026,ROW()-70,1),'Input Data Daily'!$A$5:$A$369,"&lt;"&amp;EDATE(DATE(2026,ROW()-70,1),1))</f>
        <v>216232.85000000003</v>
      </c>
      <c r="C79" s="35">
        <f t="shared" si="12"/>
        <v>398000</v>
      </c>
      <c r="P79" t="str">
        <f t="shared" si="13"/>
        <v>W09</v>
      </c>
      <c r="Q79" t="str">
        <f t="shared" si="14"/>
        <v/>
      </c>
      <c r="R79">
        <f t="shared" si="15"/>
        <v>0.93</v>
      </c>
      <c r="T79" t="str">
        <f t="shared" si="16"/>
        <v>W09</v>
      </c>
      <c r="U79" t="str">
        <f t="shared" si="17"/>
        <v/>
      </c>
      <c r="V79">
        <f t="shared" si="18"/>
        <v>0.88</v>
      </c>
      <c r="X79" t="str">
        <f t="shared" si="19"/>
        <v>W09</v>
      </c>
      <c r="Y79" t="str">
        <f t="shared" si="20"/>
        <v/>
      </c>
      <c r="Z79">
        <f t="shared" si="21"/>
        <v>205</v>
      </c>
      <c r="AB79" t="str">
        <f t="shared" si="22"/>
        <v>W09</v>
      </c>
      <c r="AC79" t="str">
        <f t="shared" si="23"/>
        <v/>
      </c>
      <c r="AD79">
        <f t="shared" si="24"/>
        <v>7.5</v>
      </c>
      <c r="AF79" t="str">
        <f t="shared" si="25"/>
        <v>W09</v>
      </c>
      <c r="AG79" t="str">
        <f t="shared" si="26"/>
        <v/>
      </c>
      <c r="AH79">
        <f t="shared" si="27"/>
        <v>1.55</v>
      </c>
      <c r="AJ79" t="str">
        <f t="shared" si="28"/>
        <v>W09</v>
      </c>
      <c r="AK79" t="str">
        <f t="shared" si="29"/>
        <v/>
      </c>
      <c r="AL79">
        <f t="shared" si="30"/>
        <v>2.7</v>
      </c>
    </row>
    <row r="80" spans="1:38" x14ac:dyDescent="0.35">
      <c r="A80" t="s">
        <v>56</v>
      </c>
      <c r="B80" s="35">
        <f>SUMIFS('Input Data Daily'!$I$5:$I$369,'Input Data Daily'!$A$5:$A$369,"&gt;="&amp;DATE(2026,ROW()-70,1),'Input Data Daily'!$A$5:$A$369,"&lt;"&amp;EDATE(DATE(2026,ROW()-70,1),1))</f>
        <v>279728.59234920633</v>
      </c>
      <c r="C80" s="35">
        <f t="shared" si="12"/>
        <v>671000</v>
      </c>
      <c r="P80" t="str">
        <f t="shared" si="13"/>
        <v>W10</v>
      </c>
      <c r="Q80" t="str">
        <f t="shared" si="14"/>
        <v/>
      </c>
      <c r="R80">
        <f t="shared" si="15"/>
        <v>0.93</v>
      </c>
      <c r="T80" t="str">
        <f t="shared" si="16"/>
        <v>W10</v>
      </c>
      <c r="U80" t="str">
        <f t="shared" si="17"/>
        <v/>
      </c>
      <c r="V80">
        <f t="shared" si="18"/>
        <v>0.88</v>
      </c>
      <c r="X80" t="str">
        <f t="shared" si="19"/>
        <v>W10</v>
      </c>
      <c r="Y80" t="str">
        <f t="shared" si="20"/>
        <v/>
      </c>
      <c r="Z80">
        <f t="shared" si="21"/>
        <v>205</v>
      </c>
      <c r="AB80" t="str">
        <f t="shared" si="22"/>
        <v>W10</v>
      </c>
      <c r="AC80" t="str">
        <f t="shared" si="23"/>
        <v/>
      </c>
      <c r="AD80">
        <f t="shared" si="24"/>
        <v>7.5</v>
      </c>
      <c r="AF80" t="str">
        <f t="shared" si="25"/>
        <v>W10</v>
      </c>
      <c r="AG80" t="str">
        <f t="shared" si="26"/>
        <v/>
      </c>
      <c r="AH80">
        <f t="shared" si="27"/>
        <v>1.55</v>
      </c>
      <c r="AJ80" t="str">
        <f t="shared" si="28"/>
        <v>W10</v>
      </c>
      <c r="AK80" t="str">
        <f t="shared" si="29"/>
        <v/>
      </c>
      <c r="AL80">
        <f t="shared" si="30"/>
        <v>2.7</v>
      </c>
    </row>
    <row r="81" spans="1:38" x14ac:dyDescent="0.35">
      <c r="A81" t="s">
        <v>57</v>
      </c>
      <c r="B81" s="35">
        <f>SUMIFS('Input Data Daily'!$I$5:$I$369,'Input Data Daily'!$A$5:$A$369,"&gt;="&amp;DATE(2026,ROW()-70,1),'Input Data Daily'!$A$5:$A$369,"&lt;"&amp;EDATE(DATE(2026,ROW()-70,1),1))</f>
        <v>0</v>
      </c>
      <c r="C81" s="35">
        <f t="shared" si="12"/>
        <v>0</v>
      </c>
      <c r="P81" t="str">
        <f t="shared" si="13"/>
        <v>W11</v>
      </c>
      <c r="Q81" t="str">
        <f t="shared" si="14"/>
        <v/>
      </c>
      <c r="R81">
        <f t="shared" si="15"/>
        <v>0.93</v>
      </c>
      <c r="T81" t="str">
        <f t="shared" si="16"/>
        <v>W11</v>
      </c>
      <c r="U81" t="str">
        <f t="shared" si="17"/>
        <v/>
      </c>
      <c r="V81">
        <f t="shared" si="18"/>
        <v>0.88</v>
      </c>
      <c r="X81" t="str">
        <f t="shared" si="19"/>
        <v>W11</v>
      </c>
      <c r="Y81" t="str">
        <f t="shared" si="20"/>
        <v/>
      </c>
      <c r="Z81">
        <f t="shared" si="21"/>
        <v>205</v>
      </c>
      <c r="AB81" t="str">
        <f t="shared" si="22"/>
        <v>W11</v>
      </c>
      <c r="AC81" t="str">
        <f t="shared" si="23"/>
        <v/>
      </c>
      <c r="AD81">
        <f t="shared" si="24"/>
        <v>7.5</v>
      </c>
      <c r="AF81" t="str">
        <f t="shared" si="25"/>
        <v>W11</v>
      </c>
      <c r="AG81" t="str">
        <f t="shared" si="26"/>
        <v/>
      </c>
      <c r="AH81">
        <f t="shared" si="27"/>
        <v>1.55</v>
      </c>
      <c r="AJ81" t="str">
        <f t="shared" si="28"/>
        <v>W11</v>
      </c>
      <c r="AK81" t="str">
        <f t="shared" si="29"/>
        <v/>
      </c>
      <c r="AL81">
        <f t="shared" si="30"/>
        <v>2.7</v>
      </c>
    </row>
    <row r="82" spans="1:38" x14ac:dyDescent="0.35">
      <c r="A82" t="s">
        <v>58</v>
      </c>
      <c r="B82" s="35">
        <f>SUMIFS('Input Data Daily'!$I$5:$I$369,'Input Data Daily'!$A$5:$A$369,"&gt;="&amp;DATE(2026,ROW()-70,1),'Input Data Daily'!$A$5:$A$369,"&lt;"&amp;EDATE(DATE(2026,ROW()-70,1),1))</f>
        <v>0</v>
      </c>
      <c r="C82" s="35">
        <f t="shared" si="12"/>
        <v>0</v>
      </c>
      <c r="P82" t="str">
        <f t="shared" si="13"/>
        <v>W12</v>
      </c>
      <c r="Q82" t="str">
        <f t="shared" si="14"/>
        <v/>
      </c>
      <c r="R82">
        <f t="shared" si="15"/>
        <v>0.93</v>
      </c>
      <c r="T82" t="str">
        <f t="shared" si="16"/>
        <v>W12</v>
      </c>
      <c r="U82" t="str">
        <f t="shared" si="17"/>
        <v/>
      </c>
      <c r="V82">
        <f t="shared" si="18"/>
        <v>0.88</v>
      </c>
      <c r="X82" t="str">
        <f t="shared" si="19"/>
        <v>W12</v>
      </c>
      <c r="Y82" t="str">
        <f t="shared" si="20"/>
        <v/>
      </c>
      <c r="Z82">
        <f t="shared" si="21"/>
        <v>205</v>
      </c>
      <c r="AB82" t="str">
        <f t="shared" si="22"/>
        <v>W12</v>
      </c>
      <c r="AC82" t="str">
        <f t="shared" si="23"/>
        <v/>
      </c>
      <c r="AD82">
        <f t="shared" si="24"/>
        <v>7.5</v>
      </c>
      <c r="AF82" t="str">
        <f t="shared" si="25"/>
        <v>W12</v>
      </c>
      <c r="AG82" t="str">
        <f t="shared" si="26"/>
        <v/>
      </c>
      <c r="AH82">
        <f t="shared" si="27"/>
        <v>1.55</v>
      </c>
      <c r="AJ82" t="str">
        <f t="shared" si="28"/>
        <v>W12</v>
      </c>
      <c r="AK82" t="str">
        <f t="shared" si="29"/>
        <v/>
      </c>
      <c r="AL82">
        <f t="shared" si="30"/>
        <v>2.7</v>
      </c>
    </row>
    <row r="83" spans="1:38" x14ac:dyDescent="0.35">
      <c r="P83" t="str">
        <f t="shared" si="13"/>
        <v>W13</v>
      </c>
      <c r="Q83" t="str">
        <f t="shared" si="14"/>
        <v/>
      </c>
      <c r="R83">
        <f t="shared" si="15"/>
        <v>0.93</v>
      </c>
      <c r="T83" t="str">
        <f t="shared" si="16"/>
        <v>W13</v>
      </c>
      <c r="U83" t="str">
        <f t="shared" si="17"/>
        <v/>
      </c>
      <c r="V83">
        <f t="shared" si="18"/>
        <v>0.88</v>
      </c>
      <c r="X83" t="str">
        <f t="shared" si="19"/>
        <v>W13</v>
      </c>
      <c r="Y83" t="str">
        <f t="shared" si="20"/>
        <v/>
      </c>
      <c r="Z83">
        <f t="shared" si="21"/>
        <v>205</v>
      </c>
      <c r="AB83" t="str">
        <f t="shared" si="22"/>
        <v>W13</v>
      </c>
      <c r="AC83" t="str">
        <f t="shared" si="23"/>
        <v/>
      </c>
      <c r="AD83">
        <f t="shared" si="24"/>
        <v>7.5</v>
      </c>
      <c r="AF83" t="str">
        <f t="shared" si="25"/>
        <v>W13</v>
      </c>
      <c r="AG83" t="str">
        <f t="shared" si="26"/>
        <v/>
      </c>
      <c r="AH83">
        <f t="shared" si="27"/>
        <v>1.55</v>
      </c>
      <c r="AJ83" t="str">
        <f t="shared" si="28"/>
        <v>W13</v>
      </c>
      <c r="AK83" t="str">
        <f t="shared" si="29"/>
        <v/>
      </c>
      <c r="AL83">
        <f t="shared" si="30"/>
        <v>2.7</v>
      </c>
    </row>
    <row r="84" spans="1:38" x14ac:dyDescent="0.35">
      <c r="P84" t="str">
        <f t="shared" si="13"/>
        <v>W14</v>
      </c>
      <c r="Q84" t="str">
        <f t="shared" si="14"/>
        <v/>
      </c>
      <c r="R84">
        <f t="shared" si="15"/>
        <v>0.93</v>
      </c>
      <c r="T84" t="str">
        <f t="shared" si="16"/>
        <v>W14</v>
      </c>
      <c r="U84" t="str">
        <f t="shared" si="17"/>
        <v/>
      </c>
      <c r="V84">
        <f t="shared" si="18"/>
        <v>0.88</v>
      </c>
      <c r="X84" t="str">
        <f t="shared" si="19"/>
        <v>W14</v>
      </c>
      <c r="Y84" t="str">
        <f t="shared" si="20"/>
        <v/>
      </c>
      <c r="Z84">
        <f t="shared" si="21"/>
        <v>205</v>
      </c>
      <c r="AB84" t="str">
        <f t="shared" si="22"/>
        <v>W14</v>
      </c>
      <c r="AC84" t="str">
        <f t="shared" si="23"/>
        <v/>
      </c>
      <c r="AD84">
        <f t="shared" si="24"/>
        <v>7.5</v>
      </c>
      <c r="AF84" t="str">
        <f t="shared" si="25"/>
        <v>W14</v>
      </c>
      <c r="AG84" t="str">
        <f t="shared" si="26"/>
        <v/>
      </c>
      <c r="AH84">
        <f t="shared" si="27"/>
        <v>1.55</v>
      </c>
      <c r="AJ84" t="str">
        <f t="shared" si="28"/>
        <v>W14</v>
      </c>
      <c r="AK84" t="str">
        <f t="shared" si="29"/>
        <v/>
      </c>
      <c r="AL84">
        <f t="shared" si="30"/>
        <v>2.7</v>
      </c>
    </row>
    <row r="85" spans="1:38" x14ac:dyDescent="0.35">
      <c r="P85" t="str">
        <f t="shared" si="13"/>
        <v>W15</v>
      </c>
      <c r="Q85" t="str">
        <f t="shared" si="14"/>
        <v/>
      </c>
      <c r="R85">
        <f t="shared" si="15"/>
        <v>0.93</v>
      </c>
      <c r="T85" t="str">
        <f t="shared" si="16"/>
        <v>W15</v>
      </c>
      <c r="U85" t="str">
        <f t="shared" si="17"/>
        <v/>
      </c>
      <c r="V85">
        <f t="shared" si="18"/>
        <v>0.88</v>
      </c>
      <c r="X85" t="str">
        <f t="shared" si="19"/>
        <v>W15</v>
      </c>
      <c r="Y85" t="str">
        <f t="shared" si="20"/>
        <v/>
      </c>
      <c r="Z85">
        <f t="shared" si="21"/>
        <v>205</v>
      </c>
      <c r="AB85" t="str">
        <f t="shared" si="22"/>
        <v>W15</v>
      </c>
      <c r="AC85" t="str">
        <f t="shared" si="23"/>
        <v/>
      </c>
      <c r="AD85">
        <f t="shared" si="24"/>
        <v>7.5</v>
      </c>
      <c r="AF85" t="str">
        <f t="shared" si="25"/>
        <v>W15</v>
      </c>
      <c r="AG85" t="str">
        <f t="shared" si="26"/>
        <v/>
      </c>
      <c r="AH85">
        <f t="shared" si="27"/>
        <v>1.55</v>
      </c>
      <c r="AJ85" t="str">
        <f t="shared" si="28"/>
        <v>W15</v>
      </c>
      <c r="AK85" t="str">
        <f t="shared" si="29"/>
        <v/>
      </c>
      <c r="AL85">
        <f t="shared" si="30"/>
        <v>2.7</v>
      </c>
    </row>
    <row r="86" spans="1:38" x14ac:dyDescent="0.35">
      <c r="P86" t="str">
        <f t="shared" si="13"/>
        <v>W16</v>
      </c>
      <c r="Q86" t="str">
        <f t="shared" si="14"/>
        <v/>
      </c>
      <c r="R86">
        <f t="shared" si="15"/>
        <v>0.93</v>
      </c>
      <c r="T86" t="str">
        <f t="shared" si="16"/>
        <v>W16</v>
      </c>
      <c r="U86" t="str">
        <f t="shared" si="17"/>
        <v/>
      </c>
      <c r="V86">
        <f t="shared" si="18"/>
        <v>0.88</v>
      </c>
      <c r="X86" t="str">
        <f t="shared" si="19"/>
        <v>W16</v>
      </c>
      <c r="Y86" t="str">
        <f t="shared" si="20"/>
        <v/>
      </c>
      <c r="Z86">
        <f t="shared" si="21"/>
        <v>205</v>
      </c>
      <c r="AB86" t="str">
        <f t="shared" si="22"/>
        <v>W16</v>
      </c>
      <c r="AC86" t="str">
        <f t="shared" si="23"/>
        <v/>
      </c>
      <c r="AD86">
        <f t="shared" si="24"/>
        <v>7.5</v>
      </c>
      <c r="AF86" t="str">
        <f t="shared" si="25"/>
        <v>W16</v>
      </c>
      <c r="AG86" t="str">
        <f t="shared" si="26"/>
        <v/>
      </c>
      <c r="AH86">
        <f t="shared" si="27"/>
        <v>1.55</v>
      </c>
      <c r="AJ86" t="str">
        <f t="shared" si="28"/>
        <v>W16</v>
      </c>
      <c r="AK86" t="str">
        <f t="shared" si="29"/>
        <v/>
      </c>
      <c r="AL86">
        <f t="shared" si="30"/>
        <v>2.7</v>
      </c>
    </row>
    <row r="87" spans="1:38" x14ac:dyDescent="0.35">
      <c r="P87" t="str">
        <f t="shared" si="13"/>
        <v>W17</v>
      </c>
      <c r="Q87" t="str">
        <f t="shared" si="14"/>
        <v/>
      </c>
      <c r="R87">
        <f t="shared" si="15"/>
        <v>0.93</v>
      </c>
      <c r="T87" t="str">
        <f t="shared" si="16"/>
        <v>W17</v>
      </c>
      <c r="U87" t="str">
        <f t="shared" si="17"/>
        <v/>
      </c>
      <c r="V87">
        <f t="shared" si="18"/>
        <v>0.88</v>
      </c>
      <c r="X87" t="str">
        <f t="shared" si="19"/>
        <v>W17</v>
      </c>
      <c r="Y87" t="str">
        <f t="shared" si="20"/>
        <v/>
      </c>
      <c r="Z87">
        <f t="shared" si="21"/>
        <v>205</v>
      </c>
      <c r="AB87" t="str">
        <f t="shared" si="22"/>
        <v>W17</v>
      </c>
      <c r="AC87" t="str">
        <f t="shared" si="23"/>
        <v/>
      </c>
      <c r="AD87">
        <f t="shared" si="24"/>
        <v>7.5</v>
      </c>
      <c r="AF87" t="str">
        <f t="shared" si="25"/>
        <v>W17</v>
      </c>
      <c r="AG87" t="str">
        <f t="shared" si="26"/>
        <v/>
      </c>
      <c r="AH87">
        <f t="shared" si="27"/>
        <v>1.55</v>
      </c>
      <c r="AJ87" t="str">
        <f t="shared" si="28"/>
        <v>W17</v>
      </c>
      <c r="AK87" t="str">
        <f t="shared" si="29"/>
        <v/>
      </c>
      <c r="AL87">
        <f t="shared" si="30"/>
        <v>2.7</v>
      </c>
    </row>
    <row r="88" spans="1:38" x14ac:dyDescent="0.35">
      <c r="P88" t="str">
        <f t="shared" si="13"/>
        <v>W18</v>
      </c>
      <c r="Q88" t="str">
        <f t="shared" si="14"/>
        <v/>
      </c>
      <c r="R88">
        <f t="shared" si="15"/>
        <v>0.93</v>
      </c>
      <c r="T88" t="str">
        <f t="shared" si="16"/>
        <v>W18</v>
      </c>
      <c r="U88" t="str">
        <f t="shared" si="17"/>
        <v/>
      </c>
      <c r="V88">
        <f t="shared" si="18"/>
        <v>0.88</v>
      </c>
      <c r="X88" t="str">
        <f t="shared" si="19"/>
        <v>W18</v>
      </c>
      <c r="Y88" t="str">
        <f t="shared" si="20"/>
        <v/>
      </c>
      <c r="Z88">
        <f t="shared" si="21"/>
        <v>205</v>
      </c>
      <c r="AB88" t="str">
        <f t="shared" si="22"/>
        <v>W18</v>
      </c>
      <c r="AC88" t="str">
        <f t="shared" si="23"/>
        <v/>
      </c>
      <c r="AD88">
        <f t="shared" si="24"/>
        <v>7.5</v>
      </c>
      <c r="AF88" t="str">
        <f t="shared" si="25"/>
        <v>W18</v>
      </c>
      <c r="AG88" t="str">
        <f t="shared" si="26"/>
        <v/>
      </c>
      <c r="AH88">
        <f t="shared" si="27"/>
        <v>1.55</v>
      </c>
      <c r="AJ88" t="str">
        <f t="shared" si="28"/>
        <v>W18</v>
      </c>
      <c r="AK88" t="str">
        <f t="shared" si="29"/>
        <v/>
      </c>
      <c r="AL88">
        <f t="shared" si="30"/>
        <v>2.7</v>
      </c>
    </row>
    <row r="89" spans="1:38" x14ac:dyDescent="0.35">
      <c r="P89" t="str">
        <f t="shared" si="13"/>
        <v>W19</v>
      </c>
      <c r="Q89" t="str">
        <f t="shared" si="14"/>
        <v/>
      </c>
      <c r="R89">
        <f t="shared" si="15"/>
        <v>0.93</v>
      </c>
      <c r="T89" t="str">
        <f t="shared" si="16"/>
        <v>W19</v>
      </c>
      <c r="U89" t="str">
        <f t="shared" si="17"/>
        <v/>
      </c>
      <c r="V89">
        <f t="shared" si="18"/>
        <v>0.88</v>
      </c>
      <c r="X89" t="str">
        <f t="shared" si="19"/>
        <v>W19</v>
      </c>
      <c r="Y89" t="str">
        <f t="shared" si="20"/>
        <v/>
      </c>
      <c r="Z89">
        <f t="shared" si="21"/>
        <v>205</v>
      </c>
      <c r="AB89" t="str">
        <f t="shared" si="22"/>
        <v>W19</v>
      </c>
      <c r="AC89" t="str">
        <f t="shared" si="23"/>
        <v/>
      </c>
      <c r="AD89">
        <f t="shared" si="24"/>
        <v>7.5</v>
      </c>
      <c r="AF89" t="str">
        <f t="shared" si="25"/>
        <v>W19</v>
      </c>
      <c r="AG89" t="str">
        <f t="shared" si="26"/>
        <v/>
      </c>
      <c r="AH89">
        <f t="shared" si="27"/>
        <v>1.55</v>
      </c>
      <c r="AJ89" t="str">
        <f t="shared" si="28"/>
        <v>W19</v>
      </c>
      <c r="AK89" t="str">
        <f t="shared" si="29"/>
        <v/>
      </c>
      <c r="AL89">
        <f t="shared" si="30"/>
        <v>2.7</v>
      </c>
    </row>
    <row r="90" spans="1:38" x14ac:dyDescent="0.35">
      <c r="P90" t="str">
        <f t="shared" si="13"/>
        <v>W20</v>
      </c>
      <c r="Q90" t="str">
        <f t="shared" si="14"/>
        <v/>
      </c>
      <c r="R90">
        <f t="shared" si="15"/>
        <v>0.93</v>
      </c>
      <c r="T90" t="str">
        <f t="shared" si="16"/>
        <v>W20</v>
      </c>
      <c r="U90" t="str">
        <f t="shared" si="17"/>
        <v/>
      </c>
      <c r="V90">
        <f t="shared" si="18"/>
        <v>0.88</v>
      </c>
      <c r="X90" t="str">
        <f t="shared" si="19"/>
        <v>W20</v>
      </c>
      <c r="Y90" t="str">
        <f t="shared" si="20"/>
        <v/>
      </c>
      <c r="Z90">
        <f t="shared" si="21"/>
        <v>205</v>
      </c>
      <c r="AB90" t="str">
        <f t="shared" si="22"/>
        <v>W20</v>
      </c>
      <c r="AC90" t="str">
        <f t="shared" si="23"/>
        <v/>
      </c>
      <c r="AD90">
        <f t="shared" si="24"/>
        <v>7.5</v>
      </c>
      <c r="AF90" t="str">
        <f t="shared" si="25"/>
        <v>W20</v>
      </c>
      <c r="AG90" t="str">
        <f t="shared" si="26"/>
        <v/>
      </c>
      <c r="AH90">
        <f t="shared" si="27"/>
        <v>1.55</v>
      </c>
      <c r="AJ90" t="str">
        <f t="shared" si="28"/>
        <v>W20</v>
      </c>
      <c r="AK90" t="str">
        <f t="shared" si="29"/>
        <v/>
      </c>
      <c r="AL90">
        <f t="shared" si="30"/>
        <v>2.7</v>
      </c>
    </row>
    <row r="91" spans="1:38" x14ac:dyDescent="0.35">
      <c r="P91" t="str">
        <f t="shared" si="13"/>
        <v>W21</v>
      </c>
      <c r="Q91" t="str">
        <f t="shared" si="14"/>
        <v/>
      </c>
      <c r="R91">
        <f t="shared" si="15"/>
        <v>0.93</v>
      </c>
      <c r="T91" t="str">
        <f t="shared" si="16"/>
        <v>W21</v>
      </c>
      <c r="U91" t="str">
        <f t="shared" si="17"/>
        <v/>
      </c>
      <c r="V91">
        <f t="shared" si="18"/>
        <v>0.88</v>
      </c>
      <c r="X91" t="str">
        <f t="shared" si="19"/>
        <v>W21</v>
      </c>
      <c r="Y91" t="str">
        <f t="shared" si="20"/>
        <v/>
      </c>
      <c r="Z91">
        <f t="shared" si="21"/>
        <v>205</v>
      </c>
      <c r="AB91" t="str">
        <f t="shared" si="22"/>
        <v>W21</v>
      </c>
      <c r="AC91" t="str">
        <f t="shared" si="23"/>
        <v/>
      </c>
      <c r="AD91">
        <f t="shared" si="24"/>
        <v>7.5</v>
      </c>
      <c r="AF91" t="str">
        <f t="shared" si="25"/>
        <v>W21</v>
      </c>
      <c r="AG91" t="str">
        <f t="shared" si="26"/>
        <v/>
      </c>
      <c r="AH91">
        <f t="shared" si="27"/>
        <v>1.55</v>
      </c>
      <c r="AJ91" t="str">
        <f t="shared" si="28"/>
        <v>W21</v>
      </c>
      <c r="AK91" t="str">
        <f t="shared" si="29"/>
        <v/>
      </c>
      <c r="AL91">
        <f t="shared" si="30"/>
        <v>2.7</v>
      </c>
    </row>
    <row r="92" spans="1:38" x14ac:dyDescent="0.35">
      <c r="P92" t="str">
        <f t="shared" si="13"/>
        <v>W22</v>
      </c>
      <c r="Q92" t="str">
        <f t="shared" si="14"/>
        <v/>
      </c>
      <c r="R92">
        <f t="shared" si="15"/>
        <v>0.93</v>
      </c>
      <c r="T92" t="str">
        <f t="shared" si="16"/>
        <v>W22</v>
      </c>
      <c r="U92" t="str">
        <f t="shared" si="17"/>
        <v/>
      </c>
      <c r="V92">
        <f t="shared" si="18"/>
        <v>0.88</v>
      </c>
      <c r="X92" t="str">
        <f t="shared" si="19"/>
        <v>W22</v>
      </c>
      <c r="Y92" t="str">
        <f t="shared" si="20"/>
        <v/>
      </c>
      <c r="Z92">
        <f t="shared" si="21"/>
        <v>205</v>
      </c>
      <c r="AB92" t="str">
        <f t="shared" si="22"/>
        <v>W22</v>
      </c>
      <c r="AC92" t="str">
        <f t="shared" si="23"/>
        <v/>
      </c>
      <c r="AD92">
        <f t="shared" si="24"/>
        <v>7.5</v>
      </c>
      <c r="AF92" t="str">
        <f t="shared" si="25"/>
        <v>W22</v>
      </c>
      <c r="AG92" t="str">
        <f t="shared" si="26"/>
        <v/>
      </c>
      <c r="AH92">
        <f t="shared" si="27"/>
        <v>1.55</v>
      </c>
      <c r="AJ92" t="str">
        <f t="shared" si="28"/>
        <v>W22</v>
      </c>
      <c r="AK92" t="str">
        <f t="shared" si="29"/>
        <v/>
      </c>
      <c r="AL92">
        <f t="shared" si="30"/>
        <v>2.7</v>
      </c>
    </row>
    <row r="93" spans="1:38" x14ac:dyDescent="0.35">
      <c r="P93" t="str">
        <f t="shared" si="13"/>
        <v>W23</v>
      </c>
      <c r="Q93" t="str">
        <f t="shared" si="14"/>
        <v/>
      </c>
      <c r="R93">
        <f t="shared" si="15"/>
        <v>0.93</v>
      </c>
      <c r="T93" t="str">
        <f t="shared" si="16"/>
        <v>W23</v>
      </c>
      <c r="U93" t="str">
        <f t="shared" si="17"/>
        <v/>
      </c>
      <c r="V93">
        <f t="shared" si="18"/>
        <v>0.88</v>
      </c>
      <c r="X93" t="str">
        <f t="shared" si="19"/>
        <v>W23</v>
      </c>
      <c r="Y93" t="str">
        <f t="shared" si="20"/>
        <v/>
      </c>
      <c r="Z93">
        <f t="shared" si="21"/>
        <v>205</v>
      </c>
      <c r="AB93" t="str">
        <f t="shared" si="22"/>
        <v>W23</v>
      </c>
      <c r="AC93" t="str">
        <f t="shared" si="23"/>
        <v/>
      </c>
      <c r="AD93">
        <f t="shared" si="24"/>
        <v>7.5</v>
      </c>
      <c r="AF93" t="str">
        <f t="shared" si="25"/>
        <v>W23</v>
      </c>
      <c r="AG93" t="str">
        <f t="shared" si="26"/>
        <v/>
      </c>
      <c r="AH93">
        <f t="shared" si="27"/>
        <v>1.55</v>
      </c>
      <c r="AJ93" t="str">
        <f t="shared" si="28"/>
        <v>W23</v>
      </c>
      <c r="AK93" t="str">
        <f t="shared" si="29"/>
        <v/>
      </c>
      <c r="AL93">
        <f t="shared" si="30"/>
        <v>2.7</v>
      </c>
    </row>
    <row r="94" spans="1:38" x14ac:dyDescent="0.35">
      <c r="P94" t="str">
        <f t="shared" si="13"/>
        <v>W24</v>
      </c>
      <c r="Q94" t="str">
        <f t="shared" si="14"/>
        <v/>
      </c>
      <c r="R94">
        <f t="shared" si="15"/>
        <v>0.93</v>
      </c>
      <c r="T94" t="str">
        <f t="shared" si="16"/>
        <v>W24</v>
      </c>
      <c r="U94" t="str">
        <f t="shared" si="17"/>
        <v/>
      </c>
      <c r="V94">
        <f t="shared" si="18"/>
        <v>0.88</v>
      </c>
      <c r="X94" t="str">
        <f t="shared" si="19"/>
        <v>W24</v>
      </c>
      <c r="Y94" t="str">
        <f t="shared" si="20"/>
        <v/>
      </c>
      <c r="Z94">
        <f t="shared" si="21"/>
        <v>205</v>
      </c>
      <c r="AB94" t="str">
        <f t="shared" si="22"/>
        <v>W24</v>
      </c>
      <c r="AC94" t="str">
        <f t="shared" si="23"/>
        <v/>
      </c>
      <c r="AD94">
        <f t="shared" si="24"/>
        <v>7.5</v>
      </c>
      <c r="AF94" t="str">
        <f t="shared" si="25"/>
        <v>W24</v>
      </c>
      <c r="AG94" t="str">
        <f t="shared" si="26"/>
        <v/>
      </c>
      <c r="AH94">
        <f t="shared" si="27"/>
        <v>1.55</v>
      </c>
      <c r="AJ94" t="str">
        <f t="shared" si="28"/>
        <v>W24</v>
      </c>
      <c r="AK94" t="str">
        <f t="shared" si="29"/>
        <v/>
      </c>
      <c r="AL94">
        <f t="shared" si="30"/>
        <v>2.7</v>
      </c>
    </row>
    <row r="95" spans="1:38" x14ac:dyDescent="0.35">
      <c r="P95" t="str">
        <f t="shared" si="13"/>
        <v>W25</v>
      </c>
      <c r="Q95" t="str">
        <f t="shared" si="14"/>
        <v/>
      </c>
      <c r="R95">
        <f t="shared" si="15"/>
        <v>0.93</v>
      </c>
      <c r="T95" t="str">
        <f t="shared" si="16"/>
        <v>W25</v>
      </c>
      <c r="U95" t="str">
        <f t="shared" si="17"/>
        <v/>
      </c>
      <c r="V95">
        <f t="shared" si="18"/>
        <v>0.88</v>
      </c>
      <c r="X95" t="str">
        <f t="shared" si="19"/>
        <v>W25</v>
      </c>
      <c r="Y95" t="str">
        <f t="shared" si="20"/>
        <v/>
      </c>
      <c r="Z95">
        <f t="shared" si="21"/>
        <v>205</v>
      </c>
      <c r="AB95" t="str">
        <f t="shared" si="22"/>
        <v>W25</v>
      </c>
      <c r="AC95" t="str">
        <f t="shared" si="23"/>
        <v/>
      </c>
      <c r="AD95">
        <f t="shared" si="24"/>
        <v>7.5</v>
      </c>
      <c r="AF95" t="str">
        <f t="shared" si="25"/>
        <v>W25</v>
      </c>
      <c r="AG95" t="str">
        <f t="shared" si="26"/>
        <v/>
      </c>
      <c r="AH95">
        <f t="shared" si="27"/>
        <v>1.55</v>
      </c>
      <c r="AJ95" t="str">
        <f t="shared" si="28"/>
        <v>W25</v>
      </c>
      <c r="AK95" t="str">
        <f t="shared" si="29"/>
        <v/>
      </c>
      <c r="AL95">
        <f t="shared" si="30"/>
        <v>2.7</v>
      </c>
    </row>
    <row r="96" spans="1:38" x14ac:dyDescent="0.35">
      <c r="P96" t="str">
        <f t="shared" si="13"/>
        <v>W26</v>
      </c>
      <c r="Q96" t="str">
        <f t="shared" si="14"/>
        <v/>
      </c>
      <c r="R96">
        <f t="shared" si="15"/>
        <v>0.93</v>
      </c>
      <c r="T96" t="str">
        <f t="shared" si="16"/>
        <v>W26</v>
      </c>
      <c r="U96" t="str">
        <f t="shared" si="17"/>
        <v/>
      </c>
      <c r="V96">
        <f t="shared" si="18"/>
        <v>0.88</v>
      </c>
      <c r="X96" t="str">
        <f t="shared" si="19"/>
        <v>W26</v>
      </c>
      <c r="Y96" t="str">
        <f t="shared" si="20"/>
        <v/>
      </c>
      <c r="Z96">
        <f t="shared" si="21"/>
        <v>205</v>
      </c>
      <c r="AB96" t="str">
        <f t="shared" si="22"/>
        <v>W26</v>
      </c>
      <c r="AC96" t="str">
        <f t="shared" si="23"/>
        <v/>
      </c>
      <c r="AD96">
        <f t="shared" si="24"/>
        <v>7.5</v>
      </c>
      <c r="AF96" t="str">
        <f t="shared" si="25"/>
        <v>W26</v>
      </c>
      <c r="AG96" t="str">
        <f t="shared" si="26"/>
        <v/>
      </c>
      <c r="AH96">
        <f t="shared" si="27"/>
        <v>1.55</v>
      </c>
      <c r="AJ96" t="str">
        <f t="shared" si="28"/>
        <v>W26</v>
      </c>
      <c r="AK96" t="str">
        <f t="shared" si="29"/>
        <v/>
      </c>
      <c r="AL96">
        <f t="shared" si="30"/>
        <v>2.7</v>
      </c>
    </row>
    <row r="97" spans="16:38" x14ac:dyDescent="0.35">
      <c r="P97" t="str">
        <f t="shared" si="13"/>
        <v>W27</v>
      </c>
      <c r="Q97" t="str">
        <f t="shared" si="14"/>
        <v/>
      </c>
      <c r="R97">
        <f t="shared" si="15"/>
        <v>0.93</v>
      </c>
      <c r="T97" t="str">
        <f t="shared" si="16"/>
        <v>W27</v>
      </c>
      <c r="U97" t="str">
        <f t="shared" si="17"/>
        <v/>
      </c>
      <c r="V97">
        <f t="shared" si="18"/>
        <v>0.88</v>
      </c>
      <c r="X97" t="str">
        <f t="shared" si="19"/>
        <v>W27</v>
      </c>
      <c r="Y97" t="str">
        <f t="shared" si="20"/>
        <v/>
      </c>
      <c r="Z97">
        <f t="shared" si="21"/>
        <v>205</v>
      </c>
      <c r="AB97" t="str">
        <f t="shared" si="22"/>
        <v>W27</v>
      </c>
      <c r="AC97" t="str">
        <f t="shared" si="23"/>
        <v/>
      </c>
      <c r="AD97">
        <f t="shared" si="24"/>
        <v>7.5</v>
      </c>
      <c r="AF97" t="str">
        <f t="shared" si="25"/>
        <v>W27</v>
      </c>
      <c r="AG97" t="str">
        <f t="shared" si="26"/>
        <v/>
      </c>
      <c r="AH97">
        <f t="shared" si="27"/>
        <v>1.55</v>
      </c>
      <c r="AJ97" t="str">
        <f t="shared" si="28"/>
        <v>W27</v>
      </c>
      <c r="AK97" t="str">
        <f t="shared" si="29"/>
        <v/>
      </c>
      <c r="AL97">
        <f t="shared" si="30"/>
        <v>2.7</v>
      </c>
    </row>
    <row r="98" spans="16:38" x14ac:dyDescent="0.35">
      <c r="P98" t="str">
        <f t="shared" si="13"/>
        <v>W28</v>
      </c>
      <c r="Q98" t="str">
        <f t="shared" si="14"/>
        <v/>
      </c>
      <c r="R98">
        <f t="shared" si="15"/>
        <v>0.93</v>
      </c>
      <c r="T98" t="str">
        <f t="shared" si="16"/>
        <v>W28</v>
      </c>
      <c r="U98" t="str">
        <f t="shared" si="17"/>
        <v/>
      </c>
      <c r="V98">
        <f t="shared" si="18"/>
        <v>0.88</v>
      </c>
      <c r="X98" t="str">
        <f t="shared" si="19"/>
        <v>W28</v>
      </c>
      <c r="Y98" t="str">
        <f t="shared" si="20"/>
        <v/>
      </c>
      <c r="Z98">
        <f t="shared" si="21"/>
        <v>205</v>
      </c>
      <c r="AB98" t="str">
        <f t="shared" si="22"/>
        <v>W28</v>
      </c>
      <c r="AC98" t="str">
        <f t="shared" si="23"/>
        <v/>
      </c>
      <c r="AD98">
        <f t="shared" si="24"/>
        <v>7.5</v>
      </c>
      <c r="AF98" t="str">
        <f t="shared" si="25"/>
        <v>W28</v>
      </c>
      <c r="AG98" t="str">
        <f t="shared" si="26"/>
        <v/>
      </c>
      <c r="AH98">
        <f t="shared" si="27"/>
        <v>1.55</v>
      </c>
      <c r="AJ98" t="str">
        <f t="shared" si="28"/>
        <v>W28</v>
      </c>
      <c r="AK98" t="str">
        <f t="shared" si="29"/>
        <v/>
      </c>
      <c r="AL98">
        <f t="shared" si="30"/>
        <v>2.7</v>
      </c>
    </row>
    <row r="99" spans="16:38" x14ac:dyDescent="0.35">
      <c r="P99" t="str">
        <f t="shared" si="13"/>
        <v>W29</v>
      </c>
      <c r="Q99" t="str">
        <f t="shared" si="14"/>
        <v/>
      </c>
      <c r="R99">
        <f t="shared" si="15"/>
        <v>0.93</v>
      </c>
      <c r="T99" t="str">
        <f t="shared" si="16"/>
        <v>W29</v>
      </c>
      <c r="U99" t="str">
        <f t="shared" si="17"/>
        <v/>
      </c>
      <c r="V99">
        <f t="shared" si="18"/>
        <v>0.88</v>
      </c>
      <c r="X99" t="str">
        <f t="shared" si="19"/>
        <v>W29</v>
      </c>
      <c r="Y99" t="str">
        <f t="shared" si="20"/>
        <v/>
      </c>
      <c r="Z99">
        <f t="shared" si="21"/>
        <v>205</v>
      </c>
      <c r="AB99" t="str">
        <f t="shared" si="22"/>
        <v>W29</v>
      </c>
      <c r="AC99" t="str">
        <f t="shared" si="23"/>
        <v/>
      </c>
      <c r="AD99">
        <f t="shared" si="24"/>
        <v>7.5</v>
      </c>
      <c r="AF99" t="str">
        <f t="shared" si="25"/>
        <v>W29</v>
      </c>
      <c r="AG99" t="str">
        <f t="shared" si="26"/>
        <v/>
      </c>
      <c r="AH99">
        <f t="shared" si="27"/>
        <v>1.55</v>
      </c>
      <c r="AJ99" t="str">
        <f t="shared" si="28"/>
        <v>W29</v>
      </c>
      <c r="AK99" t="str">
        <f t="shared" si="29"/>
        <v/>
      </c>
      <c r="AL99">
        <f t="shared" si="30"/>
        <v>2.7</v>
      </c>
    </row>
    <row r="100" spans="16:38" x14ac:dyDescent="0.35">
      <c r="P100" t="str">
        <f t="shared" si="13"/>
        <v>W30</v>
      </c>
      <c r="Q100" t="str">
        <f t="shared" si="14"/>
        <v/>
      </c>
      <c r="R100">
        <f t="shared" si="15"/>
        <v>0.93</v>
      </c>
      <c r="T100" t="str">
        <f t="shared" si="16"/>
        <v>W30</v>
      </c>
      <c r="U100" t="str">
        <f t="shared" si="17"/>
        <v/>
      </c>
      <c r="V100">
        <f t="shared" si="18"/>
        <v>0.88</v>
      </c>
      <c r="X100" t="str">
        <f t="shared" si="19"/>
        <v>W30</v>
      </c>
      <c r="Y100" t="str">
        <f t="shared" si="20"/>
        <v/>
      </c>
      <c r="Z100">
        <f t="shared" si="21"/>
        <v>205</v>
      </c>
      <c r="AB100" t="str">
        <f t="shared" si="22"/>
        <v>W30</v>
      </c>
      <c r="AC100" t="str">
        <f t="shared" si="23"/>
        <v/>
      </c>
      <c r="AD100">
        <f t="shared" si="24"/>
        <v>7.5</v>
      </c>
      <c r="AF100" t="str">
        <f t="shared" si="25"/>
        <v>W30</v>
      </c>
      <c r="AG100" t="str">
        <f t="shared" si="26"/>
        <v/>
      </c>
      <c r="AH100">
        <f t="shared" si="27"/>
        <v>1.55</v>
      </c>
      <c r="AJ100" t="str">
        <f t="shared" si="28"/>
        <v>W30</v>
      </c>
      <c r="AK100" t="str">
        <f t="shared" si="29"/>
        <v/>
      </c>
      <c r="AL100">
        <f t="shared" si="30"/>
        <v>2.7</v>
      </c>
    </row>
    <row r="101" spans="16:38" x14ac:dyDescent="0.35">
      <c r="P101" t="str">
        <f t="shared" si="13"/>
        <v>W31</v>
      </c>
      <c r="Q101">
        <f t="shared" si="14"/>
        <v>0.98084000000000005</v>
      </c>
      <c r="R101">
        <f t="shared" si="15"/>
        <v>0.93</v>
      </c>
      <c r="T101" t="str">
        <f t="shared" si="16"/>
        <v>W31</v>
      </c>
      <c r="U101">
        <f t="shared" si="17"/>
        <v>0.49427333722563283</v>
      </c>
      <c r="V101">
        <f t="shared" si="18"/>
        <v>0.88</v>
      </c>
      <c r="X101" t="str">
        <f t="shared" si="19"/>
        <v>W31</v>
      </c>
      <c r="Y101">
        <f t="shared" si="20"/>
        <v>207.15492540792542</v>
      </c>
      <c r="Z101">
        <f t="shared" si="21"/>
        <v>205</v>
      </c>
      <c r="AB101" t="str">
        <f t="shared" si="22"/>
        <v>W31</v>
      </c>
      <c r="AC101">
        <f t="shared" si="23"/>
        <v>11.296762774658461</v>
      </c>
      <c r="AD101">
        <f t="shared" si="24"/>
        <v>7.5</v>
      </c>
      <c r="AF101" t="str">
        <f t="shared" si="25"/>
        <v>W31</v>
      </c>
      <c r="AG101">
        <f t="shared" si="26"/>
        <v>1.7917364976551728</v>
      </c>
      <c r="AH101">
        <f t="shared" si="27"/>
        <v>1.55</v>
      </c>
      <c r="AJ101" t="str">
        <f t="shared" si="28"/>
        <v>W31</v>
      </c>
      <c r="AK101">
        <f t="shared" si="29"/>
        <v>1.0309523809523808</v>
      </c>
      <c r="AL101">
        <f t="shared" si="30"/>
        <v>2.7</v>
      </c>
    </row>
    <row r="102" spans="16:38" x14ac:dyDescent="0.35">
      <c r="P102" t="str">
        <f t="shared" si="13"/>
        <v>W32</v>
      </c>
      <c r="Q102">
        <f t="shared" si="14"/>
        <v>0.97647142857142855</v>
      </c>
      <c r="R102">
        <f t="shared" si="15"/>
        <v>0.93</v>
      </c>
      <c r="T102" t="str">
        <f t="shared" si="16"/>
        <v>W32</v>
      </c>
      <c r="U102">
        <f t="shared" si="17"/>
        <v>0.51370786013774805</v>
      </c>
      <c r="V102">
        <f t="shared" si="18"/>
        <v>0.88</v>
      </c>
      <c r="X102" t="str">
        <f t="shared" si="19"/>
        <v>W32</v>
      </c>
      <c r="Y102">
        <f t="shared" si="20"/>
        <v>201.82161755491668</v>
      </c>
      <c r="Z102">
        <f t="shared" si="21"/>
        <v>205</v>
      </c>
      <c r="AB102" t="str">
        <f t="shared" si="22"/>
        <v>W32</v>
      </c>
      <c r="AC102">
        <f t="shared" si="23"/>
        <v>10.928521728364416</v>
      </c>
      <c r="AD102">
        <f t="shared" si="24"/>
        <v>7.5</v>
      </c>
      <c r="AF102" t="str">
        <f t="shared" si="25"/>
        <v>W32</v>
      </c>
      <c r="AG102">
        <f t="shared" si="26"/>
        <v>1.7270515485236027</v>
      </c>
      <c r="AH102">
        <f t="shared" si="27"/>
        <v>1.55</v>
      </c>
      <c r="AJ102" t="str">
        <f t="shared" si="28"/>
        <v>W32</v>
      </c>
      <c r="AK102">
        <f t="shared" si="29"/>
        <v>1.1095238095238096</v>
      </c>
      <c r="AL102">
        <f t="shared" si="30"/>
        <v>2.7</v>
      </c>
    </row>
    <row r="103" spans="16:38" x14ac:dyDescent="0.35">
      <c r="P103" t="str">
        <f t="shared" ref="P103:P123" si="31">A47</f>
        <v>W33</v>
      </c>
      <c r="Q103">
        <f t="shared" ref="Q103:Q123" si="32">B47</f>
        <v>0.97</v>
      </c>
      <c r="R103">
        <f t="shared" ref="R103:R123" si="33">C47</f>
        <v>0.93</v>
      </c>
      <c r="T103" t="str">
        <f t="shared" ref="T103:T123" si="34">A47</f>
        <v>W33</v>
      </c>
      <c r="U103">
        <f t="shared" ref="U103:U123" si="35">D47</f>
        <v>0.62967531848127778</v>
      </c>
      <c r="V103">
        <f t="shared" ref="V103:V123" si="36">E47</f>
        <v>0.88</v>
      </c>
      <c r="X103" t="str">
        <f t="shared" ref="X103:X123" si="37">A47</f>
        <v>W33</v>
      </c>
      <c r="Y103">
        <f t="shared" ref="Y103:Y123" si="38">F47</f>
        <v>205.59217857142858</v>
      </c>
      <c r="Z103">
        <f t="shared" ref="Z103:Z123" si="39">G47</f>
        <v>205</v>
      </c>
      <c r="AB103" t="str">
        <f t="shared" ref="AB103:AB123" si="40">A47</f>
        <v>W33</v>
      </c>
      <c r="AC103">
        <f t="shared" ref="AC103:AC123" si="41">H47</f>
        <v>12.414765575847641</v>
      </c>
      <c r="AD103">
        <f t="shared" ref="AD103:AD123" si="42">I47</f>
        <v>7.5</v>
      </c>
      <c r="AF103" t="str">
        <f t="shared" ref="AF103:AF123" si="43">A47</f>
        <v>W33</v>
      </c>
      <c r="AG103">
        <f t="shared" ref="AG103:AG123" si="44">J47</f>
        <v>1.4745641016431528</v>
      </c>
      <c r="AH103">
        <f t="shared" ref="AH103:AH123" si="45">K47</f>
        <v>1.55</v>
      </c>
      <c r="AJ103" t="str">
        <f t="shared" ref="AJ103:AJ123" si="46">A47</f>
        <v>W33</v>
      </c>
      <c r="AK103">
        <f t="shared" ref="AK103:AK123" si="47">L47</f>
        <v>1.2124183006535947</v>
      </c>
      <c r="AL103">
        <f t="shared" ref="AL103:AL123" si="48">M47</f>
        <v>2.7</v>
      </c>
    </row>
    <row r="104" spans="16:38" x14ac:dyDescent="0.35">
      <c r="P104" t="str">
        <f t="shared" si="31"/>
        <v>W34</v>
      </c>
      <c r="Q104" t="str">
        <f t="shared" si="32"/>
        <v/>
      </c>
      <c r="R104">
        <f t="shared" si="33"/>
        <v>0.93</v>
      </c>
      <c r="T104" t="str">
        <f t="shared" si="34"/>
        <v>W34</v>
      </c>
      <c r="U104" t="str">
        <f t="shared" si="35"/>
        <v/>
      </c>
      <c r="V104">
        <f t="shared" si="36"/>
        <v>0.88</v>
      </c>
      <c r="X104" t="str">
        <f t="shared" si="37"/>
        <v>W34</v>
      </c>
      <c r="Y104" t="str">
        <f t="shared" si="38"/>
        <v/>
      </c>
      <c r="Z104">
        <f t="shared" si="39"/>
        <v>205</v>
      </c>
      <c r="AB104" t="str">
        <f t="shared" si="40"/>
        <v>W34</v>
      </c>
      <c r="AC104" t="str">
        <f t="shared" si="41"/>
        <v/>
      </c>
      <c r="AD104">
        <f t="shared" si="42"/>
        <v>7.5</v>
      </c>
      <c r="AF104" t="str">
        <f t="shared" si="43"/>
        <v>W34</v>
      </c>
      <c r="AG104" t="str">
        <f t="shared" si="44"/>
        <v/>
      </c>
      <c r="AH104">
        <f t="shared" si="45"/>
        <v>1.55</v>
      </c>
      <c r="AJ104" t="str">
        <f t="shared" si="46"/>
        <v>W34</v>
      </c>
      <c r="AK104" t="str">
        <f t="shared" si="47"/>
        <v/>
      </c>
      <c r="AL104">
        <f t="shared" si="48"/>
        <v>2.7</v>
      </c>
    </row>
    <row r="105" spans="16:38" x14ac:dyDescent="0.35">
      <c r="P105" t="str">
        <f t="shared" si="31"/>
        <v>W35</v>
      </c>
      <c r="Q105">
        <f t="shared" si="32"/>
        <v>0.97830000000000017</v>
      </c>
      <c r="R105">
        <f t="shared" si="33"/>
        <v>0.93</v>
      </c>
      <c r="T105" t="str">
        <f t="shared" si="34"/>
        <v>W35</v>
      </c>
      <c r="U105">
        <f t="shared" si="35"/>
        <v>0.55890363362791362</v>
      </c>
      <c r="V105">
        <f t="shared" si="36"/>
        <v>0.88</v>
      </c>
      <c r="X105" t="str">
        <f t="shared" si="37"/>
        <v>W35</v>
      </c>
      <c r="Y105">
        <f t="shared" si="38"/>
        <v>205.70297735160199</v>
      </c>
      <c r="Z105">
        <f t="shared" si="39"/>
        <v>205</v>
      </c>
      <c r="AB105" t="str">
        <f t="shared" si="40"/>
        <v>W35</v>
      </c>
      <c r="AC105">
        <f t="shared" si="41"/>
        <v>9.2756071465678609</v>
      </c>
      <c r="AD105">
        <f t="shared" si="42"/>
        <v>7.5</v>
      </c>
      <c r="AF105" t="str">
        <f t="shared" si="43"/>
        <v>W35</v>
      </c>
      <c r="AG105">
        <f t="shared" si="44"/>
        <v>1.7963769312270017</v>
      </c>
      <c r="AH105">
        <f t="shared" si="45"/>
        <v>1.55</v>
      </c>
      <c r="AJ105" t="str">
        <f t="shared" si="46"/>
        <v>W35</v>
      </c>
      <c r="AK105">
        <f t="shared" si="47"/>
        <v>1.4577777777777776</v>
      </c>
      <c r="AL105">
        <f t="shared" si="48"/>
        <v>2.7</v>
      </c>
    </row>
    <row r="106" spans="16:38" x14ac:dyDescent="0.35">
      <c r="P106" t="str">
        <f t="shared" si="31"/>
        <v>W36</v>
      </c>
      <c r="Q106">
        <f t="shared" si="32"/>
        <v>0.97714285714285709</v>
      </c>
      <c r="R106">
        <f t="shared" si="33"/>
        <v>0.93</v>
      </c>
      <c r="T106" t="str">
        <f t="shared" si="34"/>
        <v>W36</v>
      </c>
      <c r="U106">
        <f t="shared" si="35"/>
        <v>0.53618580179446373</v>
      </c>
      <c r="V106">
        <f t="shared" si="36"/>
        <v>0.88</v>
      </c>
      <c r="X106" t="str">
        <f t="shared" si="37"/>
        <v>W36</v>
      </c>
      <c r="Y106">
        <f t="shared" si="38"/>
        <v>206.13746197190244</v>
      </c>
      <c r="Z106">
        <f t="shared" si="39"/>
        <v>205</v>
      </c>
      <c r="AB106" t="str">
        <f t="shared" si="40"/>
        <v>W36</v>
      </c>
      <c r="AC106">
        <f t="shared" si="41"/>
        <v>8.8385557040527516</v>
      </c>
      <c r="AD106">
        <f t="shared" si="42"/>
        <v>7.5</v>
      </c>
      <c r="AF106" t="str">
        <f t="shared" si="43"/>
        <v>W36</v>
      </c>
      <c r="AG106">
        <f t="shared" si="44"/>
        <v>1.699270237102686</v>
      </c>
      <c r="AH106">
        <f t="shared" si="45"/>
        <v>1.55</v>
      </c>
      <c r="AJ106" t="str">
        <f t="shared" si="46"/>
        <v>W36</v>
      </c>
      <c r="AK106">
        <f t="shared" si="47"/>
        <v>1.4387755102040816</v>
      </c>
      <c r="AL106">
        <f t="shared" si="48"/>
        <v>2.7</v>
      </c>
    </row>
    <row r="107" spans="16:38" x14ac:dyDescent="0.35">
      <c r="P107" t="str">
        <f t="shared" si="31"/>
        <v>W37</v>
      </c>
      <c r="Q107">
        <f t="shared" si="32"/>
        <v>0.99</v>
      </c>
      <c r="R107">
        <f t="shared" si="33"/>
        <v>0.93</v>
      </c>
      <c r="T107" t="str">
        <f t="shared" si="34"/>
        <v>W37</v>
      </c>
      <c r="U107">
        <f t="shared" si="35"/>
        <v>0.40697458729237151</v>
      </c>
      <c r="V107">
        <f t="shared" si="36"/>
        <v>0.88</v>
      </c>
      <c r="X107" t="str">
        <f t="shared" si="37"/>
        <v>W37</v>
      </c>
      <c r="Y107">
        <f t="shared" si="38"/>
        <v>209.12289002557543</v>
      </c>
      <c r="Z107">
        <f t="shared" si="39"/>
        <v>205</v>
      </c>
      <c r="AB107" t="str">
        <f t="shared" si="40"/>
        <v>W37</v>
      </c>
      <c r="AC107">
        <f t="shared" si="41"/>
        <v>6.8638621490495773</v>
      </c>
      <c r="AD107">
        <f t="shared" si="42"/>
        <v>7.5</v>
      </c>
      <c r="AF107" t="str">
        <f t="shared" si="43"/>
        <v>W37</v>
      </c>
      <c r="AG107">
        <f t="shared" si="44"/>
        <v>1.3639608222156512</v>
      </c>
      <c r="AH107">
        <f t="shared" si="45"/>
        <v>1.55</v>
      </c>
      <c r="AJ107" t="str">
        <f t="shared" si="46"/>
        <v>W37</v>
      </c>
      <c r="AK107">
        <f t="shared" si="47"/>
        <v>1.42</v>
      </c>
      <c r="AL107">
        <f t="shared" si="48"/>
        <v>2.7</v>
      </c>
    </row>
    <row r="108" spans="16:38" x14ac:dyDescent="0.35">
      <c r="P108" t="str">
        <f t="shared" si="31"/>
        <v>W38</v>
      </c>
      <c r="Q108">
        <f t="shared" si="32"/>
        <v>0.97833333333333317</v>
      </c>
      <c r="R108">
        <f t="shared" si="33"/>
        <v>0.93</v>
      </c>
      <c r="T108" t="str">
        <f t="shared" si="34"/>
        <v>W38</v>
      </c>
      <c r="U108">
        <f t="shared" si="35"/>
        <v>0.47260822320348317</v>
      </c>
      <c r="V108">
        <f t="shared" si="36"/>
        <v>0.88</v>
      </c>
      <c r="X108" t="str">
        <f t="shared" si="37"/>
        <v>W38</v>
      </c>
      <c r="Y108">
        <f t="shared" si="38"/>
        <v>206.76634242091973</v>
      </c>
      <c r="Z108">
        <f t="shared" si="39"/>
        <v>205</v>
      </c>
      <c r="AB108" t="str">
        <f t="shared" si="40"/>
        <v>W38</v>
      </c>
      <c r="AC108">
        <f t="shared" si="41"/>
        <v>9.3969817709951151</v>
      </c>
      <c r="AD108">
        <f t="shared" si="42"/>
        <v>7.5</v>
      </c>
      <c r="AF108" t="str">
        <f t="shared" si="43"/>
        <v>W38</v>
      </c>
      <c r="AG108">
        <f t="shared" si="44"/>
        <v>1.7823835688877434</v>
      </c>
      <c r="AH108">
        <f t="shared" si="45"/>
        <v>1.55</v>
      </c>
      <c r="AJ108" t="str">
        <f t="shared" si="46"/>
        <v>W38</v>
      </c>
      <c r="AK108">
        <f t="shared" si="47"/>
        <v>1.2013888888888888</v>
      </c>
      <c r="AL108">
        <f t="shared" si="48"/>
        <v>2.7</v>
      </c>
    </row>
    <row r="109" spans="16:38" x14ac:dyDescent="0.35">
      <c r="P109" t="str">
        <f t="shared" si="31"/>
        <v>W39</v>
      </c>
      <c r="Q109">
        <f t="shared" si="32"/>
        <v>0.98457142857142876</v>
      </c>
      <c r="R109">
        <f t="shared" si="33"/>
        <v>0.93</v>
      </c>
      <c r="T109" t="str">
        <f t="shared" si="34"/>
        <v>W39</v>
      </c>
      <c r="U109">
        <f t="shared" si="35"/>
        <v>0.77337827856043795</v>
      </c>
      <c r="V109">
        <f t="shared" si="36"/>
        <v>0.88</v>
      </c>
      <c r="X109" t="str">
        <f t="shared" si="37"/>
        <v>W39</v>
      </c>
      <c r="Y109">
        <f t="shared" si="38"/>
        <v>203.20997796449214</v>
      </c>
      <c r="Z109">
        <f t="shared" si="39"/>
        <v>205</v>
      </c>
      <c r="AB109" t="str">
        <f t="shared" si="40"/>
        <v>W39</v>
      </c>
      <c r="AC109">
        <f t="shared" si="41"/>
        <v>6.9223640978360068</v>
      </c>
      <c r="AD109">
        <f t="shared" si="42"/>
        <v>7.5</v>
      </c>
      <c r="AF109" t="str">
        <f t="shared" si="43"/>
        <v>W39</v>
      </c>
      <c r="AG109">
        <f t="shared" si="44"/>
        <v>1.4626601158545267</v>
      </c>
      <c r="AH109">
        <f t="shared" si="45"/>
        <v>1.55</v>
      </c>
      <c r="AJ109" t="str">
        <f t="shared" si="46"/>
        <v>W39</v>
      </c>
      <c r="AK109">
        <f t="shared" si="47"/>
        <v>2.654863945578231</v>
      </c>
      <c r="AL109">
        <f t="shared" si="48"/>
        <v>2.7</v>
      </c>
    </row>
    <row r="110" spans="16:38" x14ac:dyDescent="0.35">
      <c r="P110" t="str">
        <f t="shared" si="31"/>
        <v>W40</v>
      </c>
      <c r="Q110">
        <f t="shared" si="32"/>
        <v>0.97099999999999986</v>
      </c>
      <c r="R110">
        <f t="shared" si="33"/>
        <v>0.93</v>
      </c>
      <c r="T110" t="str">
        <f t="shared" si="34"/>
        <v>W40</v>
      </c>
      <c r="U110">
        <f t="shared" si="35"/>
        <v>0.81661528666582472</v>
      </c>
      <c r="V110">
        <f t="shared" si="36"/>
        <v>0.88</v>
      </c>
      <c r="X110" t="str">
        <f t="shared" si="37"/>
        <v>W40</v>
      </c>
      <c r="Y110">
        <f t="shared" si="38"/>
        <v>204.21473456768777</v>
      </c>
      <c r="Z110">
        <f t="shared" si="39"/>
        <v>205</v>
      </c>
      <c r="AB110" t="str">
        <f t="shared" si="40"/>
        <v>W40</v>
      </c>
      <c r="AC110">
        <f t="shared" si="41"/>
        <v>8.2388707154797949</v>
      </c>
      <c r="AD110">
        <f t="shared" si="42"/>
        <v>7.5</v>
      </c>
      <c r="AF110" t="str">
        <f t="shared" si="43"/>
        <v>W40</v>
      </c>
      <c r="AG110">
        <f t="shared" si="44"/>
        <v>1.564545954604839</v>
      </c>
      <c r="AH110">
        <f t="shared" si="45"/>
        <v>1.55</v>
      </c>
      <c r="AJ110" t="str">
        <f t="shared" si="46"/>
        <v>W40</v>
      </c>
      <c r="AK110">
        <f t="shared" si="47"/>
        <v>2.7176992442773171</v>
      </c>
      <c r="AL110">
        <f t="shared" si="48"/>
        <v>2.7</v>
      </c>
    </row>
    <row r="111" spans="16:38" x14ac:dyDescent="0.35">
      <c r="P111" t="str">
        <f t="shared" si="31"/>
        <v>W41</v>
      </c>
      <c r="Q111">
        <f t="shared" si="32"/>
        <v>0.96234999999999993</v>
      </c>
      <c r="R111">
        <f t="shared" si="33"/>
        <v>0.93</v>
      </c>
      <c r="T111" t="str">
        <f t="shared" si="34"/>
        <v>W41</v>
      </c>
      <c r="U111">
        <f t="shared" si="35"/>
        <v>0.8382944241368856</v>
      </c>
      <c r="V111">
        <f t="shared" si="36"/>
        <v>0.88</v>
      </c>
      <c r="X111" t="str">
        <f t="shared" si="37"/>
        <v>W41</v>
      </c>
      <c r="Y111">
        <f t="shared" si="38"/>
        <v>205.54365305685531</v>
      </c>
      <c r="Z111">
        <f t="shared" si="39"/>
        <v>205</v>
      </c>
      <c r="AB111" t="str">
        <f t="shared" si="40"/>
        <v>W41</v>
      </c>
      <c r="AC111">
        <f t="shared" si="41"/>
        <v>8.7175883830978389</v>
      </c>
      <c r="AD111">
        <f t="shared" si="42"/>
        <v>7.5</v>
      </c>
      <c r="AF111" t="str">
        <f t="shared" si="43"/>
        <v>W41</v>
      </c>
      <c r="AG111">
        <f t="shared" si="44"/>
        <v>1.5333967039873861</v>
      </c>
      <c r="AH111">
        <f t="shared" si="45"/>
        <v>1.55</v>
      </c>
      <c r="AJ111" t="str">
        <f t="shared" si="46"/>
        <v>W41</v>
      </c>
      <c r="AK111">
        <f t="shared" si="47"/>
        <v>2.611599160607569</v>
      </c>
      <c r="AL111">
        <f t="shared" si="48"/>
        <v>2.7</v>
      </c>
    </row>
    <row r="112" spans="16:38" x14ac:dyDescent="0.35">
      <c r="P112" t="str">
        <f t="shared" si="31"/>
        <v>W42</v>
      </c>
      <c r="Q112" t="str">
        <f t="shared" si="32"/>
        <v/>
      </c>
      <c r="R112">
        <f t="shared" si="33"/>
        <v>0.93</v>
      </c>
      <c r="T112" t="str">
        <f t="shared" si="34"/>
        <v>W42</v>
      </c>
      <c r="U112" t="str">
        <f t="shared" si="35"/>
        <v/>
      </c>
      <c r="V112">
        <f t="shared" si="36"/>
        <v>0.88</v>
      </c>
      <c r="X112" t="str">
        <f t="shared" si="37"/>
        <v>W42</v>
      </c>
      <c r="Y112" t="str">
        <f t="shared" si="38"/>
        <v/>
      </c>
      <c r="Z112">
        <f t="shared" si="39"/>
        <v>205</v>
      </c>
      <c r="AB112" t="str">
        <f t="shared" si="40"/>
        <v>W42</v>
      </c>
      <c r="AC112" t="str">
        <f t="shared" si="41"/>
        <v/>
      </c>
      <c r="AD112">
        <f t="shared" si="42"/>
        <v>7.5</v>
      </c>
      <c r="AF112" t="str">
        <f t="shared" si="43"/>
        <v>W42</v>
      </c>
      <c r="AG112" t="str">
        <f t="shared" si="44"/>
        <v/>
      </c>
      <c r="AH112">
        <f t="shared" si="45"/>
        <v>1.55</v>
      </c>
      <c r="AJ112" t="str">
        <f t="shared" si="46"/>
        <v>W42</v>
      </c>
      <c r="AK112" t="str">
        <f t="shared" si="47"/>
        <v/>
      </c>
      <c r="AL112">
        <f t="shared" si="48"/>
        <v>2.7</v>
      </c>
    </row>
    <row r="113" spans="16:38" x14ac:dyDescent="0.35">
      <c r="P113" t="str">
        <f t="shared" si="31"/>
        <v>W43</v>
      </c>
      <c r="Q113" t="str">
        <f t="shared" si="32"/>
        <v/>
      </c>
      <c r="R113">
        <f t="shared" si="33"/>
        <v>0.93</v>
      </c>
      <c r="T113" t="str">
        <f t="shared" si="34"/>
        <v>W43</v>
      </c>
      <c r="U113" t="str">
        <f t="shared" si="35"/>
        <v/>
      </c>
      <c r="V113">
        <f t="shared" si="36"/>
        <v>0.88</v>
      </c>
      <c r="X113" t="str">
        <f t="shared" si="37"/>
        <v>W43</v>
      </c>
      <c r="Y113" t="str">
        <f t="shared" si="38"/>
        <v/>
      </c>
      <c r="Z113">
        <f t="shared" si="39"/>
        <v>205</v>
      </c>
      <c r="AB113" t="str">
        <f t="shared" si="40"/>
        <v>W43</v>
      </c>
      <c r="AC113" t="str">
        <f t="shared" si="41"/>
        <v/>
      </c>
      <c r="AD113">
        <f t="shared" si="42"/>
        <v>7.5</v>
      </c>
      <c r="AF113" t="str">
        <f t="shared" si="43"/>
        <v>W43</v>
      </c>
      <c r="AG113" t="str">
        <f t="shared" si="44"/>
        <v/>
      </c>
      <c r="AH113">
        <f t="shared" si="45"/>
        <v>1.55</v>
      </c>
      <c r="AJ113" t="str">
        <f t="shared" si="46"/>
        <v>W43</v>
      </c>
      <c r="AK113" t="str">
        <f t="shared" si="47"/>
        <v/>
      </c>
      <c r="AL113">
        <f t="shared" si="48"/>
        <v>2.7</v>
      </c>
    </row>
    <row r="114" spans="16:38" x14ac:dyDescent="0.35">
      <c r="P114" t="str">
        <f t="shared" si="31"/>
        <v>W44</v>
      </c>
      <c r="Q114" t="str">
        <f t="shared" si="32"/>
        <v/>
      </c>
      <c r="R114">
        <f t="shared" si="33"/>
        <v>0.93</v>
      </c>
      <c r="T114" t="str">
        <f t="shared" si="34"/>
        <v>W44</v>
      </c>
      <c r="U114" t="str">
        <f t="shared" si="35"/>
        <v/>
      </c>
      <c r="V114">
        <f t="shared" si="36"/>
        <v>0.88</v>
      </c>
      <c r="X114" t="str">
        <f t="shared" si="37"/>
        <v>W44</v>
      </c>
      <c r="Y114" t="str">
        <f t="shared" si="38"/>
        <v/>
      </c>
      <c r="Z114">
        <f t="shared" si="39"/>
        <v>205</v>
      </c>
      <c r="AB114" t="str">
        <f t="shared" si="40"/>
        <v>W44</v>
      </c>
      <c r="AC114" t="str">
        <f t="shared" si="41"/>
        <v/>
      </c>
      <c r="AD114">
        <f t="shared" si="42"/>
        <v>7.5</v>
      </c>
      <c r="AF114" t="str">
        <f t="shared" si="43"/>
        <v>W44</v>
      </c>
      <c r="AG114" t="str">
        <f t="shared" si="44"/>
        <v/>
      </c>
      <c r="AH114">
        <f t="shared" si="45"/>
        <v>1.55</v>
      </c>
      <c r="AJ114" t="str">
        <f t="shared" si="46"/>
        <v>W44</v>
      </c>
      <c r="AK114" t="str">
        <f t="shared" si="47"/>
        <v/>
      </c>
      <c r="AL114">
        <f t="shared" si="48"/>
        <v>2.7</v>
      </c>
    </row>
    <row r="115" spans="16:38" x14ac:dyDescent="0.35">
      <c r="P115" t="str">
        <f t="shared" si="31"/>
        <v>W45</v>
      </c>
      <c r="Q115" t="str">
        <f t="shared" si="32"/>
        <v/>
      </c>
      <c r="R115">
        <f t="shared" si="33"/>
        <v>0.93</v>
      </c>
      <c r="T115" t="str">
        <f t="shared" si="34"/>
        <v>W45</v>
      </c>
      <c r="U115" t="str">
        <f t="shared" si="35"/>
        <v/>
      </c>
      <c r="V115">
        <f t="shared" si="36"/>
        <v>0.88</v>
      </c>
      <c r="X115" t="str">
        <f t="shared" si="37"/>
        <v>W45</v>
      </c>
      <c r="Y115" t="str">
        <f t="shared" si="38"/>
        <v/>
      </c>
      <c r="Z115">
        <f t="shared" si="39"/>
        <v>205</v>
      </c>
      <c r="AB115" t="str">
        <f t="shared" si="40"/>
        <v>W45</v>
      </c>
      <c r="AC115" t="str">
        <f t="shared" si="41"/>
        <v/>
      </c>
      <c r="AD115">
        <f t="shared" si="42"/>
        <v>7.5</v>
      </c>
      <c r="AF115" t="str">
        <f t="shared" si="43"/>
        <v>W45</v>
      </c>
      <c r="AG115" t="str">
        <f t="shared" si="44"/>
        <v/>
      </c>
      <c r="AH115">
        <f t="shared" si="45"/>
        <v>1.55</v>
      </c>
      <c r="AJ115" t="str">
        <f t="shared" si="46"/>
        <v>W45</v>
      </c>
      <c r="AK115" t="str">
        <f t="shared" si="47"/>
        <v/>
      </c>
      <c r="AL115">
        <f t="shared" si="48"/>
        <v>2.7</v>
      </c>
    </row>
    <row r="116" spans="16:38" x14ac:dyDescent="0.35">
      <c r="P116" t="str">
        <f t="shared" si="31"/>
        <v>W46</v>
      </c>
      <c r="Q116" t="str">
        <f t="shared" si="32"/>
        <v/>
      </c>
      <c r="R116">
        <f t="shared" si="33"/>
        <v>0.93</v>
      </c>
      <c r="T116" t="str">
        <f t="shared" si="34"/>
        <v>W46</v>
      </c>
      <c r="U116" t="str">
        <f t="shared" si="35"/>
        <v/>
      </c>
      <c r="V116">
        <f t="shared" si="36"/>
        <v>0.88</v>
      </c>
      <c r="X116" t="str">
        <f t="shared" si="37"/>
        <v>W46</v>
      </c>
      <c r="Y116" t="str">
        <f t="shared" si="38"/>
        <v/>
      </c>
      <c r="Z116">
        <f t="shared" si="39"/>
        <v>205</v>
      </c>
      <c r="AB116" t="str">
        <f t="shared" si="40"/>
        <v>W46</v>
      </c>
      <c r="AC116" t="str">
        <f t="shared" si="41"/>
        <v/>
      </c>
      <c r="AD116">
        <f t="shared" si="42"/>
        <v>7.5</v>
      </c>
      <c r="AF116" t="str">
        <f t="shared" si="43"/>
        <v>W46</v>
      </c>
      <c r="AG116" t="str">
        <f t="shared" si="44"/>
        <v/>
      </c>
      <c r="AH116">
        <f t="shared" si="45"/>
        <v>1.55</v>
      </c>
      <c r="AJ116" t="str">
        <f t="shared" si="46"/>
        <v>W46</v>
      </c>
      <c r="AK116" t="str">
        <f t="shared" si="47"/>
        <v/>
      </c>
      <c r="AL116">
        <f t="shared" si="48"/>
        <v>2.7</v>
      </c>
    </row>
    <row r="117" spans="16:38" x14ac:dyDescent="0.35">
      <c r="P117" t="str">
        <f t="shared" si="31"/>
        <v>W47</v>
      </c>
      <c r="Q117" t="str">
        <f t="shared" si="32"/>
        <v/>
      </c>
      <c r="R117">
        <f t="shared" si="33"/>
        <v>0.93</v>
      </c>
      <c r="T117" t="str">
        <f t="shared" si="34"/>
        <v>W47</v>
      </c>
      <c r="U117" t="str">
        <f t="shared" si="35"/>
        <v/>
      </c>
      <c r="V117">
        <f t="shared" si="36"/>
        <v>0.88</v>
      </c>
      <c r="X117" t="str">
        <f t="shared" si="37"/>
        <v>W47</v>
      </c>
      <c r="Y117" t="str">
        <f t="shared" si="38"/>
        <v/>
      </c>
      <c r="Z117">
        <f t="shared" si="39"/>
        <v>205</v>
      </c>
      <c r="AB117" t="str">
        <f t="shared" si="40"/>
        <v>W47</v>
      </c>
      <c r="AC117" t="str">
        <f t="shared" si="41"/>
        <v/>
      </c>
      <c r="AD117">
        <f t="shared" si="42"/>
        <v>7.5</v>
      </c>
      <c r="AF117" t="str">
        <f t="shared" si="43"/>
        <v>W47</v>
      </c>
      <c r="AG117" t="str">
        <f t="shared" si="44"/>
        <v/>
      </c>
      <c r="AH117">
        <f t="shared" si="45"/>
        <v>1.55</v>
      </c>
      <c r="AJ117" t="str">
        <f t="shared" si="46"/>
        <v>W47</v>
      </c>
      <c r="AK117" t="str">
        <f t="shared" si="47"/>
        <v/>
      </c>
      <c r="AL117">
        <f t="shared" si="48"/>
        <v>2.7</v>
      </c>
    </row>
    <row r="118" spans="16:38" x14ac:dyDescent="0.35">
      <c r="P118" t="str">
        <f t="shared" si="31"/>
        <v>W48</v>
      </c>
      <c r="Q118" t="str">
        <f t="shared" si="32"/>
        <v/>
      </c>
      <c r="R118">
        <f t="shared" si="33"/>
        <v>0.93</v>
      </c>
      <c r="T118" t="str">
        <f t="shared" si="34"/>
        <v>W48</v>
      </c>
      <c r="U118" t="str">
        <f t="shared" si="35"/>
        <v/>
      </c>
      <c r="V118">
        <f t="shared" si="36"/>
        <v>0.88</v>
      </c>
      <c r="X118" t="str">
        <f t="shared" si="37"/>
        <v>W48</v>
      </c>
      <c r="Y118" t="str">
        <f t="shared" si="38"/>
        <v/>
      </c>
      <c r="Z118">
        <f t="shared" si="39"/>
        <v>205</v>
      </c>
      <c r="AB118" t="str">
        <f t="shared" si="40"/>
        <v>W48</v>
      </c>
      <c r="AC118" t="str">
        <f t="shared" si="41"/>
        <v/>
      </c>
      <c r="AD118">
        <f t="shared" si="42"/>
        <v>7.5</v>
      </c>
      <c r="AF118" t="str">
        <f t="shared" si="43"/>
        <v>W48</v>
      </c>
      <c r="AG118" t="str">
        <f t="shared" si="44"/>
        <v/>
      </c>
      <c r="AH118">
        <f t="shared" si="45"/>
        <v>1.55</v>
      </c>
      <c r="AJ118" t="str">
        <f t="shared" si="46"/>
        <v>W48</v>
      </c>
      <c r="AK118" t="str">
        <f t="shared" si="47"/>
        <v/>
      </c>
      <c r="AL118">
        <f t="shared" si="48"/>
        <v>2.7</v>
      </c>
    </row>
    <row r="119" spans="16:38" x14ac:dyDescent="0.35">
      <c r="P119" t="str">
        <f t="shared" si="31"/>
        <v>W49</v>
      </c>
      <c r="Q119" t="str">
        <f t="shared" si="32"/>
        <v/>
      </c>
      <c r="R119">
        <f t="shared" si="33"/>
        <v>0.93</v>
      </c>
      <c r="T119" t="str">
        <f t="shared" si="34"/>
        <v>W49</v>
      </c>
      <c r="U119" t="str">
        <f t="shared" si="35"/>
        <v/>
      </c>
      <c r="V119">
        <f t="shared" si="36"/>
        <v>0.88</v>
      </c>
      <c r="X119" t="str">
        <f t="shared" si="37"/>
        <v>W49</v>
      </c>
      <c r="Y119" t="str">
        <f t="shared" si="38"/>
        <v/>
      </c>
      <c r="Z119">
        <f t="shared" si="39"/>
        <v>205</v>
      </c>
      <c r="AB119" t="str">
        <f t="shared" si="40"/>
        <v>W49</v>
      </c>
      <c r="AC119" t="str">
        <f t="shared" si="41"/>
        <v/>
      </c>
      <c r="AD119">
        <f t="shared" si="42"/>
        <v>7.5</v>
      </c>
      <c r="AF119" t="str">
        <f t="shared" si="43"/>
        <v>W49</v>
      </c>
      <c r="AG119" t="str">
        <f t="shared" si="44"/>
        <v/>
      </c>
      <c r="AH119">
        <f t="shared" si="45"/>
        <v>1.55</v>
      </c>
      <c r="AJ119" t="str">
        <f t="shared" si="46"/>
        <v>W49</v>
      </c>
      <c r="AK119" t="str">
        <f t="shared" si="47"/>
        <v/>
      </c>
      <c r="AL119">
        <f t="shared" si="48"/>
        <v>2.7</v>
      </c>
    </row>
    <row r="120" spans="16:38" x14ac:dyDescent="0.35">
      <c r="P120" t="str">
        <f t="shared" si="31"/>
        <v>W50</v>
      </c>
      <c r="Q120" t="str">
        <f t="shared" si="32"/>
        <v/>
      </c>
      <c r="R120">
        <f t="shared" si="33"/>
        <v>0.93</v>
      </c>
      <c r="T120" t="str">
        <f t="shared" si="34"/>
        <v>W50</v>
      </c>
      <c r="U120" t="str">
        <f t="shared" si="35"/>
        <v/>
      </c>
      <c r="V120">
        <f t="shared" si="36"/>
        <v>0.88</v>
      </c>
      <c r="X120" t="str">
        <f t="shared" si="37"/>
        <v>W50</v>
      </c>
      <c r="Y120" t="str">
        <f t="shared" si="38"/>
        <v/>
      </c>
      <c r="Z120">
        <f t="shared" si="39"/>
        <v>205</v>
      </c>
      <c r="AB120" t="str">
        <f t="shared" si="40"/>
        <v>W50</v>
      </c>
      <c r="AC120" t="str">
        <f t="shared" si="41"/>
        <v/>
      </c>
      <c r="AD120">
        <f t="shared" si="42"/>
        <v>7.5</v>
      </c>
      <c r="AF120" t="str">
        <f t="shared" si="43"/>
        <v>W50</v>
      </c>
      <c r="AG120" t="str">
        <f t="shared" si="44"/>
        <v/>
      </c>
      <c r="AH120">
        <f t="shared" si="45"/>
        <v>1.55</v>
      </c>
      <c r="AJ120" t="str">
        <f t="shared" si="46"/>
        <v>W50</v>
      </c>
      <c r="AK120" t="str">
        <f t="shared" si="47"/>
        <v/>
      </c>
      <c r="AL120">
        <f t="shared" si="48"/>
        <v>2.7</v>
      </c>
    </row>
    <row r="121" spans="16:38" x14ac:dyDescent="0.35">
      <c r="P121" t="str">
        <f t="shared" si="31"/>
        <v>W51</v>
      </c>
      <c r="Q121" t="str">
        <f t="shared" si="32"/>
        <v/>
      </c>
      <c r="R121">
        <f t="shared" si="33"/>
        <v>0.93</v>
      </c>
      <c r="T121" t="str">
        <f t="shared" si="34"/>
        <v>W51</v>
      </c>
      <c r="U121" t="str">
        <f t="shared" si="35"/>
        <v/>
      </c>
      <c r="V121">
        <f t="shared" si="36"/>
        <v>0.88</v>
      </c>
      <c r="X121" t="str">
        <f t="shared" si="37"/>
        <v>W51</v>
      </c>
      <c r="Y121" t="str">
        <f t="shared" si="38"/>
        <v/>
      </c>
      <c r="Z121">
        <f t="shared" si="39"/>
        <v>205</v>
      </c>
      <c r="AB121" t="str">
        <f t="shared" si="40"/>
        <v>W51</v>
      </c>
      <c r="AC121" t="str">
        <f t="shared" si="41"/>
        <v/>
      </c>
      <c r="AD121">
        <f t="shared" si="42"/>
        <v>7.5</v>
      </c>
      <c r="AF121" t="str">
        <f t="shared" si="43"/>
        <v>W51</v>
      </c>
      <c r="AG121" t="str">
        <f t="shared" si="44"/>
        <v/>
      </c>
      <c r="AH121">
        <f t="shared" si="45"/>
        <v>1.55</v>
      </c>
      <c r="AJ121" t="str">
        <f t="shared" si="46"/>
        <v>W51</v>
      </c>
      <c r="AK121" t="str">
        <f t="shared" si="47"/>
        <v/>
      </c>
      <c r="AL121">
        <f t="shared" si="48"/>
        <v>2.7</v>
      </c>
    </row>
    <row r="122" spans="16:38" x14ac:dyDescent="0.35">
      <c r="P122" t="str">
        <f t="shared" si="31"/>
        <v>W52</v>
      </c>
      <c r="Q122" t="str">
        <f t="shared" si="32"/>
        <v/>
      </c>
      <c r="R122">
        <f t="shared" si="33"/>
        <v>0.93</v>
      </c>
      <c r="T122" t="str">
        <f t="shared" si="34"/>
        <v>W52</v>
      </c>
      <c r="U122" t="str">
        <f t="shared" si="35"/>
        <v/>
      </c>
      <c r="V122">
        <f t="shared" si="36"/>
        <v>0.88</v>
      </c>
      <c r="X122" t="str">
        <f t="shared" si="37"/>
        <v>W52</v>
      </c>
      <c r="Y122" t="str">
        <f t="shared" si="38"/>
        <v/>
      </c>
      <c r="Z122">
        <f t="shared" si="39"/>
        <v>205</v>
      </c>
      <c r="AB122" t="str">
        <f t="shared" si="40"/>
        <v>W52</v>
      </c>
      <c r="AC122" t="str">
        <f t="shared" si="41"/>
        <v/>
      </c>
      <c r="AD122">
        <f t="shared" si="42"/>
        <v>7.5</v>
      </c>
      <c r="AF122" t="str">
        <f t="shared" si="43"/>
        <v>W52</v>
      </c>
      <c r="AG122" t="str">
        <f t="shared" si="44"/>
        <v/>
      </c>
      <c r="AH122">
        <f t="shared" si="45"/>
        <v>1.55</v>
      </c>
      <c r="AJ122" t="str">
        <f t="shared" si="46"/>
        <v>W52</v>
      </c>
      <c r="AK122" t="str">
        <f t="shared" si="47"/>
        <v/>
      </c>
      <c r="AL122">
        <f t="shared" si="48"/>
        <v>2.7</v>
      </c>
    </row>
    <row r="123" spans="16:38" x14ac:dyDescent="0.35">
      <c r="P123" t="str">
        <f t="shared" si="31"/>
        <v>W53</v>
      </c>
      <c r="Q123" t="str">
        <f t="shared" si="32"/>
        <v/>
      </c>
      <c r="R123">
        <f t="shared" si="33"/>
        <v>0.93</v>
      </c>
      <c r="T123" t="str">
        <f t="shared" si="34"/>
        <v>W53</v>
      </c>
      <c r="U123" t="str">
        <f t="shared" si="35"/>
        <v/>
      </c>
      <c r="V123">
        <f t="shared" si="36"/>
        <v>0.88</v>
      </c>
      <c r="X123" t="str">
        <f t="shared" si="37"/>
        <v>W53</v>
      </c>
      <c r="Y123" t="str">
        <f t="shared" si="38"/>
        <v/>
      </c>
      <c r="Z123">
        <f t="shared" si="39"/>
        <v>205</v>
      </c>
      <c r="AB123" t="str">
        <f t="shared" si="40"/>
        <v>W53</v>
      </c>
      <c r="AC123" t="str">
        <f t="shared" si="41"/>
        <v/>
      </c>
      <c r="AD123">
        <f t="shared" si="42"/>
        <v>7.5</v>
      </c>
      <c r="AF123" t="str">
        <f t="shared" si="43"/>
        <v>W53</v>
      </c>
      <c r="AG123" t="str">
        <f t="shared" si="44"/>
        <v/>
      </c>
      <c r="AH123">
        <f t="shared" si="45"/>
        <v>1.55</v>
      </c>
      <c r="AJ123" t="str">
        <f t="shared" si="46"/>
        <v>W53</v>
      </c>
      <c r="AK123" t="str">
        <f t="shared" si="47"/>
        <v/>
      </c>
      <c r="AL123">
        <f t="shared" si="48"/>
        <v>2.7</v>
      </c>
    </row>
  </sheetData>
  <mergeCells count="3">
    <mergeCell ref="A1:H1"/>
    <mergeCell ref="A2:H2"/>
    <mergeCell ref="A13:H13"/>
  </mergeCells>
  <conditionalFormatting sqref="A15:N67">
    <cfRule type="containsBlanks" dxfId="0" priority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4C68"/>
  </sheetPr>
  <dimension ref="A1:AL99"/>
  <sheetViews>
    <sheetView showGridLines="0" topLeftCell="N32" zoomScale="88" workbookViewId="0">
      <selection activeCell="AK48" sqref="AK48"/>
    </sheetView>
  </sheetViews>
  <sheetFormatPr defaultRowHeight="14.5" x14ac:dyDescent="0.35"/>
  <cols>
    <col min="1" max="1" width="15" customWidth="1"/>
    <col min="2" max="5" width="12" customWidth="1"/>
    <col min="6" max="7" width="14" customWidth="1"/>
    <col min="8" max="11" width="15" customWidth="1"/>
    <col min="12" max="13" width="12" customWidth="1"/>
    <col min="14" max="14" width="18" customWidth="1"/>
    <col min="33" max="33" width="13" bestFit="1" customWidth="1"/>
  </cols>
  <sheetData>
    <row r="1" spans="1:38" ht="26" customHeight="1" x14ac:dyDescent="0.35">
      <c r="A1" s="99" t="s">
        <v>59</v>
      </c>
      <c r="B1" s="99"/>
      <c r="C1" s="99"/>
      <c r="D1" s="99"/>
      <c r="E1" s="99"/>
      <c r="F1" s="99"/>
      <c r="G1" s="99"/>
      <c r="H1" s="99"/>
    </row>
    <row r="2" spans="1:38" x14ac:dyDescent="0.35">
      <c r="A2" s="100" t="s">
        <v>60</v>
      </c>
      <c r="B2" s="100"/>
      <c r="C2" s="100"/>
      <c r="D2" s="100"/>
      <c r="E2" s="100"/>
      <c r="F2" s="100"/>
      <c r="G2" s="100"/>
      <c r="H2" s="100"/>
    </row>
    <row r="3" spans="1:38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38" x14ac:dyDescent="0.35">
      <c r="A4" s="73" t="s">
        <v>61</v>
      </c>
      <c r="B4" s="73" t="s">
        <v>2</v>
      </c>
    </row>
    <row r="5" spans="1:38" x14ac:dyDescent="0.35">
      <c r="A5" s="29" t="str">
        <f>'Grafik KPI 2026'!A5</f>
        <v>PA</v>
      </c>
      <c r="B5" s="61">
        <f>'Grafik KPI 2026'!B5</f>
        <v>0.93</v>
      </c>
    </row>
    <row r="6" spans="1:38" x14ac:dyDescent="0.35">
      <c r="A6" s="30" t="str">
        <f>'Grafik KPI 2026'!A6</f>
        <v>UA</v>
      </c>
      <c r="B6" s="62">
        <f>'Grafik KPI 2026'!B6</f>
        <v>0.88</v>
      </c>
    </row>
    <row r="7" spans="1:38" x14ac:dyDescent="0.35">
      <c r="A7" s="30" t="str">
        <f>'Grafik KPI 2026'!A7</f>
        <v>TPD</v>
      </c>
      <c r="B7" s="63">
        <f>'Grafik KPI 2026'!B7</f>
        <v>2.7</v>
      </c>
    </row>
    <row r="8" spans="1:38" x14ac:dyDescent="0.35">
      <c r="A8" s="30" t="str">
        <f>'Grafik KPI 2026'!A8</f>
        <v>Cycle Time</v>
      </c>
      <c r="B8" s="63">
        <f>'Grafik KPI 2026'!B8</f>
        <v>7.5</v>
      </c>
    </row>
    <row r="9" spans="1:38" x14ac:dyDescent="0.35">
      <c r="A9" s="30" t="str">
        <f>'Grafik KPI 2026'!A9</f>
        <v>Payload</v>
      </c>
      <c r="B9" s="36">
        <f>'Grafik KPI 2026'!B9</f>
        <v>205</v>
      </c>
    </row>
    <row r="10" spans="1:38" x14ac:dyDescent="0.35">
      <c r="A10" s="31" t="str">
        <f>'Grafik KPI 2026'!A10</f>
        <v>Fuel Ratio</v>
      </c>
      <c r="B10" s="64">
        <f>'Grafik KPI 2026'!B10</f>
        <v>1.55</v>
      </c>
    </row>
    <row r="13" spans="1:38" x14ac:dyDescent="0.35">
      <c r="A13" s="101" t="s">
        <v>62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</row>
    <row r="14" spans="1:38" ht="32" customHeight="1" x14ac:dyDescent="0.35">
      <c r="A14" s="75" t="s">
        <v>14</v>
      </c>
      <c r="B14" s="76" t="s">
        <v>34</v>
      </c>
      <c r="C14" s="76" t="s">
        <v>35</v>
      </c>
      <c r="D14" s="76" t="s">
        <v>36</v>
      </c>
      <c r="E14" s="76" t="s">
        <v>37</v>
      </c>
      <c r="F14" s="76" t="s">
        <v>38</v>
      </c>
      <c r="G14" s="76" t="s">
        <v>39</v>
      </c>
      <c r="H14" s="76" t="s">
        <v>40</v>
      </c>
      <c r="I14" s="76" t="s">
        <v>41</v>
      </c>
      <c r="J14" s="76" t="s">
        <v>42</v>
      </c>
      <c r="K14" s="76" t="s">
        <v>43</v>
      </c>
      <c r="L14" s="76" t="s">
        <v>44</v>
      </c>
      <c r="M14" s="76" t="s">
        <v>45</v>
      </c>
      <c r="N14" s="77" t="s">
        <v>46</v>
      </c>
      <c r="AL14" t="s">
        <v>95</v>
      </c>
    </row>
    <row r="15" spans="1:38" x14ac:dyDescent="0.35">
      <c r="A15" s="65" t="str">
        <f>'Grafik KPI 2026'!A44</f>
        <v>W30</v>
      </c>
      <c r="B15" s="67" t="str">
        <f>'Grafik KPI 2026'!B44</f>
        <v/>
      </c>
      <c r="C15" s="67">
        <f>'Grafik KPI 2026'!C44</f>
        <v>0.93</v>
      </c>
      <c r="D15" s="67" t="str">
        <f>'Grafik KPI 2026'!D44</f>
        <v/>
      </c>
      <c r="E15" s="67">
        <f>'Grafik KPI 2026'!E44</f>
        <v>0.88</v>
      </c>
      <c r="F15" s="71" t="str">
        <f>'Grafik KPI 2026'!F44</f>
        <v/>
      </c>
      <c r="G15" s="71">
        <f>'Grafik KPI 2026'!G44</f>
        <v>205</v>
      </c>
      <c r="H15" s="69" t="str">
        <f>'Grafik KPI 2026'!H44</f>
        <v/>
      </c>
      <c r="I15" s="69">
        <f>'Grafik KPI 2026'!I44</f>
        <v>7.5</v>
      </c>
      <c r="J15" s="69" t="str">
        <f>'Grafik KPI 2026'!J44</f>
        <v/>
      </c>
      <c r="K15" s="69">
        <f>'Grafik KPI 2026'!K44</f>
        <v>1.55</v>
      </c>
      <c r="L15" s="69" t="str">
        <f>'Grafik KPI 2026'!L44</f>
        <v/>
      </c>
      <c r="M15" s="69">
        <f>'Grafik KPI 2026'!M44</f>
        <v>2.7</v>
      </c>
      <c r="N15" s="56">
        <f>'Grafik KPI 2026'!N44</f>
        <v>0</v>
      </c>
      <c r="AL15" t="s">
        <v>95</v>
      </c>
    </row>
    <row r="16" spans="1:38" x14ac:dyDescent="0.35">
      <c r="A16" s="65" t="str">
        <f>'Grafik KPI 2026'!A45</f>
        <v>W31</v>
      </c>
      <c r="B16" s="67">
        <f>'Grafik KPI 2026'!B45</f>
        <v>0.98084000000000005</v>
      </c>
      <c r="C16" s="67">
        <f>'Grafik KPI 2026'!C45</f>
        <v>0.93</v>
      </c>
      <c r="D16" s="67">
        <f>'Grafik KPI 2026'!D45</f>
        <v>0.49427333722563283</v>
      </c>
      <c r="E16" s="67">
        <f>'Grafik KPI 2026'!E45</f>
        <v>0.88</v>
      </c>
      <c r="F16" s="71">
        <f>'Grafik KPI 2026'!F45</f>
        <v>207.15492540792542</v>
      </c>
      <c r="G16" s="71">
        <f>'Grafik KPI 2026'!G45</f>
        <v>205</v>
      </c>
      <c r="H16" s="69">
        <f>'Grafik KPI 2026'!H45</f>
        <v>11.296762774658461</v>
      </c>
      <c r="I16" s="69">
        <f>'Grafik KPI 2026'!I45</f>
        <v>7.5</v>
      </c>
      <c r="J16" s="69">
        <f>'Grafik KPI 2026'!J45</f>
        <v>1.7917364976551728</v>
      </c>
      <c r="K16" s="69">
        <f>'Grafik KPI 2026'!K45</f>
        <v>1.55</v>
      </c>
      <c r="L16" s="69">
        <f>'Grafik KPI 2026'!L45</f>
        <v>1.0309523809523808</v>
      </c>
      <c r="M16" s="69">
        <f>'Grafik KPI 2026'!M45</f>
        <v>2.7</v>
      </c>
      <c r="N16" s="56">
        <f>'Grafik KPI 2026'!N45</f>
        <v>13214.550000000001</v>
      </c>
    </row>
    <row r="17" spans="1:14" x14ac:dyDescent="0.35">
      <c r="A17" s="65" t="str">
        <f>'Grafik KPI 2026'!A46</f>
        <v>W32</v>
      </c>
      <c r="B17" s="67">
        <f>'Grafik KPI 2026'!B46</f>
        <v>0.97647142857142855</v>
      </c>
      <c r="C17" s="67">
        <f>'Grafik KPI 2026'!C46</f>
        <v>0.93</v>
      </c>
      <c r="D17" s="67">
        <f>'Grafik KPI 2026'!D46</f>
        <v>0.51370786013774805</v>
      </c>
      <c r="E17" s="67">
        <f>'Grafik KPI 2026'!E46</f>
        <v>0.88</v>
      </c>
      <c r="F17" s="71">
        <f>'Grafik KPI 2026'!F46</f>
        <v>201.82161755491668</v>
      </c>
      <c r="G17" s="71">
        <f>'Grafik KPI 2026'!G46</f>
        <v>205</v>
      </c>
      <c r="H17" s="69">
        <f>'Grafik KPI 2026'!H46</f>
        <v>10.928521728364416</v>
      </c>
      <c r="I17" s="69">
        <f>'Grafik KPI 2026'!I46</f>
        <v>7.5</v>
      </c>
      <c r="J17" s="69">
        <f>'Grafik KPI 2026'!J46</f>
        <v>1.7270515485236027</v>
      </c>
      <c r="K17" s="69">
        <f>'Grafik KPI 2026'!K46</f>
        <v>1.55</v>
      </c>
      <c r="L17" s="69">
        <f>'Grafik KPI 2026'!L46</f>
        <v>1.1095238095238096</v>
      </c>
      <c r="M17" s="69">
        <f>'Grafik KPI 2026'!M46</f>
        <v>2.7</v>
      </c>
      <c r="N17" s="56">
        <f>'Grafik KPI 2026'!N46</f>
        <v>24647.15</v>
      </c>
    </row>
    <row r="18" spans="1:14" x14ac:dyDescent="0.35">
      <c r="A18" s="65" t="str">
        <f>'Grafik KPI 2026'!A47</f>
        <v>W33</v>
      </c>
      <c r="B18" s="67">
        <f>'Grafik KPI 2026'!B47</f>
        <v>0.97</v>
      </c>
      <c r="C18" s="67">
        <f>'Grafik KPI 2026'!C47</f>
        <v>0.93</v>
      </c>
      <c r="D18" s="67">
        <f>'Grafik KPI 2026'!D47</f>
        <v>0.62967531848127778</v>
      </c>
      <c r="E18" s="67">
        <f>'Grafik KPI 2026'!E47</f>
        <v>0.88</v>
      </c>
      <c r="F18" s="71">
        <f>'Grafik KPI 2026'!F47</f>
        <v>205.59217857142858</v>
      </c>
      <c r="G18" s="71">
        <f>'Grafik KPI 2026'!G47</f>
        <v>205</v>
      </c>
      <c r="H18" s="69">
        <f>'Grafik KPI 2026'!H47</f>
        <v>12.414765575847641</v>
      </c>
      <c r="I18" s="69">
        <f>'Grafik KPI 2026'!I47</f>
        <v>7.5</v>
      </c>
      <c r="J18" s="69">
        <f>'Grafik KPI 2026'!J47</f>
        <v>1.4745641016431528</v>
      </c>
      <c r="K18" s="69">
        <f>'Grafik KPI 2026'!K47</f>
        <v>1.55</v>
      </c>
      <c r="L18" s="69">
        <f>'Grafik KPI 2026'!L47</f>
        <v>1.2124183006535947</v>
      </c>
      <c r="M18" s="69">
        <f>'Grafik KPI 2026'!M47</f>
        <v>2.7</v>
      </c>
      <c r="N18" s="56">
        <f>'Grafik KPI 2026'!N47</f>
        <v>19858</v>
      </c>
    </row>
    <row r="19" spans="1:14" x14ac:dyDescent="0.35">
      <c r="A19" s="65" t="str">
        <f>'Grafik KPI 2026'!A48</f>
        <v>W34</v>
      </c>
      <c r="B19" s="67" t="str">
        <f>'Grafik KPI 2026'!B48</f>
        <v/>
      </c>
      <c r="C19" s="67">
        <f>'Grafik KPI 2026'!C48</f>
        <v>0.93</v>
      </c>
      <c r="D19" s="67" t="str">
        <f>'Grafik KPI 2026'!D48</f>
        <v/>
      </c>
      <c r="E19" s="67">
        <f>'Grafik KPI 2026'!E48</f>
        <v>0.88</v>
      </c>
      <c r="F19" s="71" t="str">
        <f>'Grafik KPI 2026'!F48</f>
        <v/>
      </c>
      <c r="G19" s="71">
        <f>'Grafik KPI 2026'!G48</f>
        <v>205</v>
      </c>
      <c r="H19" s="69" t="str">
        <f>'Grafik KPI 2026'!H48</f>
        <v/>
      </c>
      <c r="I19" s="69">
        <f>'Grafik KPI 2026'!I48</f>
        <v>7.5</v>
      </c>
      <c r="J19" s="69" t="str">
        <f>'Grafik KPI 2026'!J48</f>
        <v/>
      </c>
      <c r="K19" s="69">
        <f>'Grafik KPI 2026'!K48</f>
        <v>1.55</v>
      </c>
      <c r="L19" s="69" t="str">
        <f>'Grafik KPI 2026'!L48</f>
        <v/>
      </c>
      <c r="M19" s="69">
        <f>'Grafik KPI 2026'!M48</f>
        <v>2.7</v>
      </c>
      <c r="N19" s="56">
        <f>'Grafik KPI 2026'!N48</f>
        <v>0</v>
      </c>
    </row>
    <row r="20" spans="1:14" x14ac:dyDescent="0.35">
      <c r="A20" s="65" t="str">
        <f>'Grafik KPI 2026'!A49</f>
        <v>W35</v>
      </c>
      <c r="B20" s="67">
        <f>'Grafik KPI 2026'!B49</f>
        <v>0.97830000000000017</v>
      </c>
      <c r="C20" s="67">
        <f>'Grafik KPI 2026'!C49</f>
        <v>0.93</v>
      </c>
      <c r="D20" s="67">
        <f>'Grafik KPI 2026'!D49</f>
        <v>0.55890363362791362</v>
      </c>
      <c r="E20" s="67">
        <f>'Grafik KPI 2026'!E49</f>
        <v>0.88</v>
      </c>
      <c r="F20" s="71">
        <f>'Grafik KPI 2026'!F49</f>
        <v>205.70297735160199</v>
      </c>
      <c r="G20" s="71">
        <f>'Grafik KPI 2026'!G49</f>
        <v>205</v>
      </c>
      <c r="H20" s="69">
        <f>'Grafik KPI 2026'!H49</f>
        <v>9.2756071465678609</v>
      </c>
      <c r="I20" s="69">
        <f>'Grafik KPI 2026'!I49</f>
        <v>7.5</v>
      </c>
      <c r="J20" s="69">
        <f>'Grafik KPI 2026'!J49</f>
        <v>1.7963769312270017</v>
      </c>
      <c r="K20" s="69">
        <f>'Grafik KPI 2026'!K49</f>
        <v>1.55</v>
      </c>
      <c r="L20" s="69">
        <f>'Grafik KPI 2026'!L49</f>
        <v>1.4577777777777776</v>
      </c>
      <c r="M20" s="69">
        <f>'Grafik KPI 2026'!M49</f>
        <v>2.7</v>
      </c>
      <c r="N20" s="56">
        <f>'Grafik KPI 2026'!N49</f>
        <v>28002.5</v>
      </c>
    </row>
    <row r="21" spans="1:14" x14ac:dyDescent="0.35">
      <c r="A21" s="65" t="str">
        <f>'Grafik KPI 2026'!A50</f>
        <v>W36</v>
      </c>
      <c r="B21" s="67">
        <f>'Grafik KPI 2026'!B50</f>
        <v>0.97714285714285709</v>
      </c>
      <c r="C21" s="67">
        <f>'Grafik KPI 2026'!C50</f>
        <v>0.93</v>
      </c>
      <c r="D21" s="67">
        <f>'Grafik KPI 2026'!D50</f>
        <v>0.53618580179446373</v>
      </c>
      <c r="E21" s="67">
        <f>'Grafik KPI 2026'!E50</f>
        <v>0.88</v>
      </c>
      <c r="F21" s="71">
        <f>'Grafik KPI 2026'!F50</f>
        <v>206.13746197190244</v>
      </c>
      <c r="G21" s="71">
        <f>'Grafik KPI 2026'!G50</f>
        <v>205</v>
      </c>
      <c r="H21" s="69">
        <f>'Grafik KPI 2026'!H50</f>
        <v>8.8385557040527516</v>
      </c>
      <c r="I21" s="69">
        <f>'Grafik KPI 2026'!I50</f>
        <v>7.5</v>
      </c>
      <c r="J21" s="69">
        <f>'Grafik KPI 2026'!J50</f>
        <v>1.699270237102686</v>
      </c>
      <c r="K21" s="69">
        <f>'Grafik KPI 2026'!K50</f>
        <v>1.55</v>
      </c>
      <c r="L21" s="69">
        <f>'Grafik KPI 2026'!L50</f>
        <v>1.4387755102040816</v>
      </c>
      <c r="M21" s="69">
        <f>'Grafik KPI 2026'!M50</f>
        <v>2.7</v>
      </c>
      <c r="N21" s="56">
        <f>'Grafik KPI 2026'!N50</f>
        <v>53901</v>
      </c>
    </row>
    <row r="22" spans="1:14" x14ac:dyDescent="0.35">
      <c r="A22" s="65" t="str">
        <f>'Grafik KPI 2026'!A51</f>
        <v>W37</v>
      </c>
      <c r="B22" s="67">
        <f>'Grafik KPI 2026'!B51</f>
        <v>0.99</v>
      </c>
      <c r="C22" s="67">
        <f>'Grafik KPI 2026'!C51</f>
        <v>0.93</v>
      </c>
      <c r="D22" s="67">
        <f>'Grafik KPI 2026'!D51</f>
        <v>0.40697458729237151</v>
      </c>
      <c r="E22" s="67">
        <f>'Grafik KPI 2026'!E51</f>
        <v>0.88</v>
      </c>
      <c r="F22" s="71">
        <f>'Grafik KPI 2026'!F51</f>
        <v>209.12289002557543</v>
      </c>
      <c r="G22" s="71">
        <f>'Grafik KPI 2026'!G51</f>
        <v>205</v>
      </c>
      <c r="H22" s="69">
        <f>'Grafik KPI 2026'!H51</f>
        <v>6.8638621490495773</v>
      </c>
      <c r="I22" s="69">
        <f>'Grafik KPI 2026'!I51</f>
        <v>7.5</v>
      </c>
      <c r="J22" s="69">
        <f>'Grafik KPI 2026'!J51</f>
        <v>1.3639608222156512</v>
      </c>
      <c r="K22" s="69">
        <f>'Grafik KPI 2026'!K51</f>
        <v>1.55</v>
      </c>
      <c r="L22" s="69">
        <f>'Grafik KPI 2026'!L51</f>
        <v>1.42</v>
      </c>
      <c r="M22" s="69">
        <f>'Grafik KPI 2026'!M51</f>
        <v>2.7</v>
      </c>
      <c r="N22" s="56">
        <f>'Grafik KPI 2026'!N51</f>
        <v>13122.95</v>
      </c>
    </row>
    <row r="23" spans="1:14" x14ac:dyDescent="0.35">
      <c r="A23" s="65" t="str">
        <f>'Grafik KPI 2026'!A52</f>
        <v>W38</v>
      </c>
      <c r="B23" s="67">
        <f>'Grafik KPI 2026'!B52</f>
        <v>0.97833333333333317</v>
      </c>
      <c r="C23" s="67">
        <f>'Grafik KPI 2026'!C52</f>
        <v>0.93</v>
      </c>
      <c r="D23" s="67">
        <f>'Grafik KPI 2026'!D52</f>
        <v>0.47260822320348317</v>
      </c>
      <c r="E23" s="67">
        <f>'Grafik KPI 2026'!E52</f>
        <v>0.88</v>
      </c>
      <c r="F23" s="71">
        <f>'Grafik KPI 2026'!F52</f>
        <v>206.76634242091973</v>
      </c>
      <c r="G23" s="71">
        <f>'Grafik KPI 2026'!G52</f>
        <v>205</v>
      </c>
      <c r="H23" s="69">
        <f>'Grafik KPI 2026'!H52</f>
        <v>9.3969817709951151</v>
      </c>
      <c r="I23" s="69">
        <f>'Grafik KPI 2026'!I52</f>
        <v>7.5</v>
      </c>
      <c r="J23" s="69">
        <f>'Grafik KPI 2026'!J52</f>
        <v>1.7823835688877434</v>
      </c>
      <c r="K23" s="69">
        <f>'Grafik KPI 2026'!K52</f>
        <v>1.55</v>
      </c>
      <c r="L23" s="69">
        <f>'Grafik KPI 2026'!L52</f>
        <v>1.2013888888888888</v>
      </c>
      <c r="M23" s="69">
        <f>'Grafik KPI 2026'!M52</f>
        <v>2.7</v>
      </c>
      <c r="N23" s="56">
        <f>'Grafik KPI 2026'!N52</f>
        <v>40318.199999999997</v>
      </c>
    </row>
    <row r="24" spans="1:14" x14ac:dyDescent="0.35">
      <c r="A24" s="65" t="str">
        <f>'Grafik KPI 2026'!A53</f>
        <v>W39</v>
      </c>
      <c r="B24" s="67">
        <f>'Grafik KPI 2026'!B53</f>
        <v>0.98457142857142876</v>
      </c>
      <c r="C24" s="67">
        <f>'Grafik KPI 2026'!C53</f>
        <v>0.93</v>
      </c>
      <c r="D24" s="67">
        <f>'Grafik KPI 2026'!D53</f>
        <v>0.77337827856043795</v>
      </c>
      <c r="E24" s="67">
        <f>'Grafik KPI 2026'!E53</f>
        <v>0.88</v>
      </c>
      <c r="F24" s="71">
        <f>'Grafik KPI 2026'!F53</f>
        <v>203.20997796449214</v>
      </c>
      <c r="G24" s="71">
        <f>'Grafik KPI 2026'!G53</f>
        <v>205</v>
      </c>
      <c r="H24" s="69">
        <f>'Grafik KPI 2026'!H53</f>
        <v>6.9223640978360068</v>
      </c>
      <c r="I24" s="69">
        <f>'Grafik KPI 2026'!I53</f>
        <v>7.5</v>
      </c>
      <c r="J24" s="69">
        <f>'Grafik KPI 2026'!J53</f>
        <v>1.4626601158545267</v>
      </c>
      <c r="K24" s="69">
        <f>'Grafik KPI 2026'!K53</f>
        <v>1.55</v>
      </c>
      <c r="L24" s="69">
        <f>'Grafik KPI 2026'!L53</f>
        <v>2.654863945578231</v>
      </c>
      <c r="M24" s="69">
        <f>'Grafik KPI 2026'!M53</f>
        <v>2.7</v>
      </c>
      <c r="N24" s="56">
        <f>'Grafik KPI 2026'!N53</f>
        <v>97726.499999999985</v>
      </c>
    </row>
    <row r="25" spans="1:14" x14ac:dyDescent="0.35">
      <c r="A25" s="65" t="str">
        <f>'Grafik KPI 2026'!A54</f>
        <v>W40</v>
      </c>
      <c r="B25" s="67">
        <f>'Grafik KPI 2026'!B54</f>
        <v>0.97099999999999986</v>
      </c>
      <c r="C25" s="67">
        <f>'Grafik KPI 2026'!C54</f>
        <v>0.93</v>
      </c>
      <c r="D25" s="67">
        <f>'Grafik KPI 2026'!D54</f>
        <v>0.81661528666582472</v>
      </c>
      <c r="E25" s="67">
        <f>'Grafik KPI 2026'!E54</f>
        <v>0.88</v>
      </c>
      <c r="F25" s="71">
        <f>'Grafik KPI 2026'!F54</f>
        <v>204.21473456768777</v>
      </c>
      <c r="G25" s="71">
        <f>'Grafik KPI 2026'!G54</f>
        <v>205</v>
      </c>
      <c r="H25" s="69">
        <f>'Grafik KPI 2026'!H54</f>
        <v>8.2388707154797949</v>
      </c>
      <c r="I25" s="69">
        <f>'Grafik KPI 2026'!I54</f>
        <v>7.5</v>
      </c>
      <c r="J25" s="69">
        <f>'Grafik KPI 2026'!J54</f>
        <v>1.564545954604839</v>
      </c>
      <c r="K25" s="69">
        <f>'Grafik KPI 2026'!K54</f>
        <v>1.55</v>
      </c>
      <c r="L25" s="69">
        <f>'Grafik KPI 2026'!L54</f>
        <v>2.7176992442773171</v>
      </c>
      <c r="M25" s="69">
        <f>'Grafik KPI 2026'!M54</f>
        <v>2.7</v>
      </c>
      <c r="N25" s="56">
        <f>'Grafik KPI 2026'!N54</f>
        <v>125803.6967936508</v>
      </c>
    </row>
    <row r="26" spans="1:14" x14ac:dyDescent="0.35">
      <c r="A26" s="65" t="str">
        <f>'Grafik KPI 2026'!A55</f>
        <v>W41</v>
      </c>
      <c r="B26" s="67">
        <f>'Grafik KPI 2026'!B55</f>
        <v>0.96234999999999993</v>
      </c>
      <c r="C26" s="67">
        <f>'Grafik KPI 2026'!C55</f>
        <v>0.93</v>
      </c>
      <c r="D26" s="67">
        <f>'Grafik KPI 2026'!D55</f>
        <v>0.8382944241368856</v>
      </c>
      <c r="E26" s="67">
        <f>'Grafik KPI 2026'!E55</f>
        <v>0.88</v>
      </c>
      <c r="F26" s="71">
        <f>'Grafik KPI 2026'!F55</f>
        <v>205.54365305685531</v>
      </c>
      <c r="G26" s="71">
        <f>'Grafik KPI 2026'!G55</f>
        <v>205</v>
      </c>
      <c r="H26" s="69">
        <f>'Grafik KPI 2026'!H55</f>
        <v>8.7175883830978389</v>
      </c>
      <c r="I26" s="69">
        <f>'Grafik KPI 2026'!I55</f>
        <v>7.5</v>
      </c>
      <c r="J26" s="69">
        <f>'Grafik KPI 2026'!J55</f>
        <v>1.5333967039873861</v>
      </c>
      <c r="K26" s="69">
        <f>'Grafik KPI 2026'!K55</f>
        <v>1.55</v>
      </c>
      <c r="L26" s="69">
        <f>'Grafik KPI 2026'!L55</f>
        <v>2.611599160607569</v>
      </c>
      <c r="M26" s="69">
        <f>'Grafik KPI 2026'!M55</f>
        <v>2.7</v>
      </c>
      <c r="N26" s="56">
        <f>'Grafik KPI 2026'!N55</f>
        <v>153924.89555555556</v>
      </c>
    </row>
    <row r="27" spans="1:14" x14ac:dyDescent="0.35">
      <c r="A27" s="65" t="str">
        <f>'Grafik KPI 2026'!A56</f>
        <v>W42</v>
      </c>
      <c r="B27" s="67" t="str">
        <f>'Grafik KPI 2026'!B56</f>
        <v/>
      </c>
      <c r="C27" s="67">
        <f>'Grafik KPI 2026'!C56</f>
        <v>0.93</v>
      </c>
      <c r="D27" s="67" t="str">
        <f>'Grafik KPI 2026'!D56</f>
        <v/>
      </c>
      <c r="E27" s="67">
        <f>'Grafik KPI 2026'!E56</f>
        <v>0.88</v>
      </c>
      <c r="F27" s="71" t="str">
        <f>'Grafik KPI 2026'!F56</f>
        <v/>
      </c>
      <c r="G27" s="71">
        <f>'Grafik KPI 2026'!G56</f>
        <v>205</v>
      </c>
      <c r="H27" s="69" t="str">
        <f>'Grafik KPI 2026'!H56</f>
        <v/>
      </c>
      <c r="I27" s="69">
        <f>'Grafik KPI 2026'!I56</f>
        <v>7.5</v>
      </c>
      <c r="J27" s="69" t="str">
        <f>'Grafik KPI 2026'!J56</f>
        <v/>
      </c>
      <c r="K27" s="69">
        <f>'Grafik KPI 2026'!K56</f>
        <v>1.55</v>
      </c>
      <c r="L27" s="69" t="str">
        <f>'Grafik KPI 2026'!L56</f>
        <v/>
      </c>
      <c r="M27" s="69">
        <f>'Grafik KPI 2026'!M56</f>
        <v>2.7</v>
      </c>
      <c r="N27" s="56">
        <f>'Grafik KPI 2026'!N56</f>
        <v>0</v>
      </c>
    </row>
    <row r="28" spans="1:14" x14ac:dyDescent="0.35">
      <c r="A28" s="65" t="str">
        <f>'Grafik KPI 2026'!A57</f>
        <v>W43</v>
      </c>
      <c r="B28" s="67" t="str">
        <f>'Grafik KPI 2026'!B57</f>
        <v/>
      </c>
      <c r="C28" s="67">
        <f>'Grafik KPI 2026'!C57</f>
        <v>0.93</v>
      </c>
      <c r="D28" s="67" t="str">
        <f>'Grafik KPI 2026'!D57</f>
        <v/>
      </c>
      <c r="E28" s="67">
        <f>'Grafik KPI 2026'!E57</f>
        <v>0.88</v>
      </c>
      <c r="F28" s="71" t="str">
        <f>'Grafik KPI 2026'!F57</f>
        <v/>
      </c>
      <c r="G28" s="71">
        <f>'Grafik KPI 2026'!G57</f>
        <v>205</v>
      </c>
      <c r="H28" s="69" t="str">
        <f>'Grafik KPI 2026'!H57</f>
        <v/>
      </c>
      <c r="I28" s="69">
        <f>'Grafik KPI 2026'!I57</f>
        <v>7.5</v>
      </c>
      <c r="J28" s="69" t="str">
        <f>'Grafik KPI 2026'!J57</f>
        <v/>
      </c>
      <c r="K28" s="69">
        <f>'Grafik KPI 2026'!K57</f>
        <v>1.55</v>
      </c>
      <c r="L28" s="69" t="str">
        <f>'Grafik KPI 2026'!L57</f>
        <v/>
      </c>
      <c r="M28" s="69">
        <f>'Grafik KPI 2026'!M57</f>
        <v>2.7</v>
      </c>
      <c r="N28" s="56">
        <f>'Grafik KPI 2026'!N57</f>
        <v>0</v>
      </c>
    </row>
    <row r="29" spans="1:14" x14ac:dyDescent="0.35">
      <c r="A29" s="65" t="str">
        <f>'Grafik KPI 2026'!A58</f>
        <v>W44</v>
      </c>
      <c r="B29" s="67" t="str">
        <f>'Grafik KPI 2026'!B58</f>
        <v/>
      </c>
      <c r="C29" s="67">
        <f>'Grafik KPI 2026'!C58</f>
        <v>0.93</v>
      </c>
      <c r="D29" s="67" t="str">
        <f>'Grafik KPI 2026'!D58</f>
        <v/>
      </c>
      <c r="E29" s="67">
        <f>'Grafik KPI 2026'!E58</f>
        <v>0.88</v>
      </c>
      <c r="F29" s="71" t="str">
        <f>'Grafik KPI 2026'!F58</f>
        <v/>
      </c>
      <c r="G29" s="71">
        <f>'Grafik KPI 2026'!G58</f>
        <v>205</v>
      </c>
      <c r="H29" s="69" t="str">
        <f>'Grafik KPI 2026'!H58</f>
        <v/>
      </c>
      <c r="I29" s="69">
        <f>'Grafik KPI 2026'!I58</f>
        <v>7.5</v>
      </c>
      <c r="J29" s="69" t="str">
        <f>'Grafik KPI 2026'!J58</f>
        <v/>
      </c>
      <c r="K29" s="69">
        <f>'Grafik KPI 2026'!K58</f>
        <v>1.55</v>
      </c>
      <c r="L29" s="69" t="str">
        <f>'Grafik KPI 2026'!L58</f>
        <v/>
      </c>
      <c r="M29" s="69">
        <f>'Grafik KPI 2026'!M58</f>
        <v>2.7</v>
      </c>
      <c r="N29" s="56">
        <f>'Grafik KPI 2026'!N58</f>
        <v>0</v>
      </c>
    </row>
    <row r="30" spans="1:14" x14ac:dyDescent="0.35">
      <c r="A30" s="65" t="str">
        <f>'Grafik KPI 2026'!A59</f>
        <v>W45</v>
      </c>
      <c r="B30" s="67" t="str">
        <f>'Grafik KPI 2026'!B59</f>
        <v/>
      </c>
      <c r="C30" s="67">
        <f>'Grafik KPI 2026'!C59</f>
        <v>0.93</v>
      </c>
      <c r="D30" s="67" t="str">
        <f>'Grafik KPI 2026'!D59</f>
        <v/>
      </c>
      <c r="E30" s="67">
        <f>'Grafik KPI 2026'!E59</f>
        <v>0.88</v>
      </c>
      <c r="F30" s="71" t="str">
        <f>'Grafik KPI 2026'!F59</f>
        <v/>
      </c>
      <c r="G30" s="71">
        <f>'Grafik KPI 2026'!G59</f>
        <v>205</v>
      </c>
      <c r="H30" s="69" t="str">
        <f>'Grafik KPI 2026'!H59</f>
        <v/>
      </c>
      <c r="I30" s="69">
        <f>'Grafik KPI 2026'!I59</f>
        <v>7.5</v>
      </c>
      <c r="J30" s="69" t="str">
        <f>'Grafik KPI 2026'!J59</f>
        <v/>
      </c>
      <c r="K30" s="69">
        <f>'Grafik KPI 2026'!K59</f>
        <v>1.55</v>
      </c>
      <c r="L30" s="69" t="str">
        <f>'Grafik KPI 2026'!L59</f>
        <v/>
      </c>
      <c r="M30" s="69">
        <f>'Grafik KPI 2026'!M59</f>
        <v>2.7</v>
      </c>
      <c r="N30" s="56">
        <f>'Grafik KPI 2026'!N59</f>
        <v>0</v>
      </c>
    </row>
    <row r="31" spans="1:14" x14ac:dyDescent="0.35">
      <c r="A31" s="65" t="str">
        <f>'Grafik KPI 2026'!A60</f>
        <v>W46</v>
      </c>
      <c r="B31" s="67" t="str">
        <f>'Grafik KPI 2026'!B60</f>
        <v/>
      </c>
      <c r="C31" s="67">
        <f>'Grafik KPI 2026'!C60</f>
        <v>0.93</v>
      </c>
      <c r="D31" s="67" t="str">
        <f>'Grafik KPI 2026'!D60</f>
        <v/>
      </c>
      <c r="E31" s="67">
        <f>'Grafik KPI 2026'!E60</f>
        <v>0.88</v>
      </c>
      <c r="F31" s="71" t="str">
        <f>'Grafik KPI 2026'!F60</f>
        <v/>
      </c>
      <c r="G31" s="71">
        <f>'Grafik KPI 2026'!G60</f>
        <v>205</v>
      </c>
      <c r="H31" s="69" t="str">
        <f>'Grafik KPI 2026'!H60</f>
        <v/>
      </c>
      <c r="I31" s="69">
        <f>'Grafik KPI 2026'!I60</f>
        <v>7.5</v>
      </c>
      <c r="J31" s="69" t="str">
        <f>'Grafik KPI 2026'!J60</f>
        <v/>
      </c>
      <c r="K31" s="69">
        <f>'Grafik KPI 2026'!K60</f>
        <v>1.55</v>
      </c>
      <c r="L31" s="69" t="str">
        <f>'Grafik KPI 2026'!L60</f>
        <v/>
      </c>
      <c r="M31" s="69">
        <f>'Grafik KPI 2026'!M60</f>
        <v>2.7</v>
      </c>
      <c r="N31" s="56">
        <f>'Grafik KPI 2026'!N60</f>
        <v>0</v>
      </c>
    </row>
    <row r="32" spans="1:14" x14ac:dyDescent="0.35">
      <c r="A32" s="65" t="str">
        <f>'Grafik KPI 2026'!A61</f>
        <v>W47</v>
      </c>
      <c r="B32" s="67" t="str">
        <f>'Grafik KPI 2026'!B61</f>
        <v/>
      </c>
      <c r="C32" s="67">
        <f>'Grafik KPI 2026'!C61</f>
        <v>0.93</v>
      </c>
      <c r="D32" s="67" t="str">
        <f>'Grafik KPI 2026'!D61</f>
        <v/>
      </c>
      <c r="E32" s="67">
        <f>'Grafik KPI 2026'!E61</f>
        <v>0.88</v>
      </c>
      <c r="F32" s="71" t="str">
        <f>'Grafik KPI 2026'!F61</f>
        <v/>
      </c>
      <c r="G32" s="71">
        <f>'Grafik KPI 2026'!G61</f>
        <v>205</v>
      </c>
      <c r="H32" s="69" t="str">
        <f>'Grafik KPI 2026'!H61</f>
        <v/>
      </c>
      <c r="I32" s="69">
        <f>'Grafik KPI 2026'!I61</f>
        <v>7.5</v>
      </c>
      <c r="J32" s="69" t="str">
        <f>'Grafik KPI 2026'!J61</f>
        <v/>
      </c>
      <c r="K32" s="69">
        <f>'Grafik KPI 2026'!K61</f>
        <v>1.55</v>
      </c>
      <c r="L32" s="69" t="str">
        <f>'Grafik KPI 2026'!L61</f>
        <v/>
      </c>
      <c r="M32" s="69">
        <f>'Grafik KPI 2026'!M61</f>
        <v>2.7</v>
      </c>
      <c r="N32" s="56">
        <f>'Grafik KPI 2026'!N61</f>
        <v>0</v>
      </c>
    </row>
    <row r="33" spans="1:14" x14ac:dyDescent="0.35">
      <c r="A33" s="65" t="str">
        <f>'Grafik KPI 2026'!A62</f>
        <v>W48</v>
      </c>
      <c r="B33" s="67" t="str">
        <f>'Grafik KPI 2026'!B62</f>
        <v/>
      </c>
      <c r="C33" s="67">
        <f>'Grafik KPI 2026'!C62</f>
        <v>0.93</v>
      </c>
      <c r="D33" s="67" t="str">
        <f>'Grafik KPI 2026'!D62</f>
        <v/>
      </c>
      <c r="E33" s="67">
        <f>'Grafik KPI 2026'!E62</f>
        <v>0.88</v>
      </c>
      <c r="F33" s="71" t="str">
        <f>'Grafik KPI 2026'!F62</f>
        <v/>
      </c>
      <c r="G33" s="71">
        <f>'Grafik KPI 2026'!G62</f>
        <v>205</v>
      </c>
      <c r="H33" s="69" t="str">
        <f>'Grafik KPI 2026'!H62</f>
        <v/>
      </c>
      <c r="I33" s="69">
        <f>'Grafik KPI 2026'!I62</f>
        <v>7.5</v>
      </c>
      <c r="J33" s="69" t="str">
        <f>'Grafik KPI 2026'!J62</f>
        <v/>
      </c>
      <c r="K33" s="69">
        <f>'Grafik KPI 2026'!K62</f>
        <v>1.55</v>
      </c>
      <c r="L33" s="69" t="str">
        <f>'Grafik KPI 2026'!L62</f>
        <v/>
      </c>
      <c r="M33" s="69">
        <f>'Grafik KPI 2026'!M62</f>
        <v>2.7</v>
      </c>
      <c r="N33" s="56">
        <f>'Grafik KPI 2026'!N62</f>
        <v>0</v>
      </c>
    </row>
    <row r="34" spans="1:14" x14ac:dyDescent="0.35">
      <c r="A34" s="65" t="str">
        <f>'Grafik KPI 2026'!A63</f>
        <v>W49</v>
      </c>
      <c r="B34" s="67" t="str">
        <f>'Grafik KPI 2026'!B63</f>
        <v/>
      </c>
      <c r="C34" s="67">
        <f>'Grafik KPI 2026'!C63</f>
        <v>0.93</v>
      </c>
      <c r="D34" s="67" t="str">
        <f>'Grafik KPI 2026'!D63</f>
        <v/>
      </c>
      <c r="E34" s="67">
        <f>'Grafik KPI 2026'!E63</f>
        <v>0.88</v>
      </c>
      <c r="F34" s="71" t="str">
        <f>'Grafik KPI 2026'!F63</f>
        <v/>
      </c>
      <c r="G34" s="71">
        <f>'Grafik KPI 2026'!G63</f>
        <v>205</v>
      </c>
      <c r="H34" s="69" t="str">
        <f>'Grafik KPI 2026'!H63</f>
        <v/>
      </c>
      <c r="I34" s="69">
        <f>'Grafik KPI 2026'!I63</f>
        <v>7.5</v>
      </c>
      <c r="J34" s="69" t="str">
        <f>'Grafik KPI 2026'!J63</f>
        <v/>
      </c>
      <c r="K34" s="69">
        <f>'Grafik KPI 2026'!K63</f>
        <v>1.55</v>
      </c>
      <c r="L34" s="69" t="str">
        <f>'Grafik KPI 2026'!L63</f>
        <v/>
      </c>
      <c r="M34" s="69">
        <f>'Grafik KPI 2026'!M63</f>
        <v>2.7</v>
      </c>
      <c r="N34" s="56">
        <f>'Grafik KPI 2026'!N63</f>
        <v>0</v>
      </c>
    </row>
    <row r="35" spans="1:14" x14ac:dyDescent="0.35">
      <c r="A35" s="65" t="str">
        <f>'Grafik KPI 2026'!A64</f>
        <v>W50</v>
      </c>
      <c r="B35" s="67" t="str">
        <f>'Grafik KPI 2026'!B64</f>
        <v/>
      </c>
      <c r="C35" s="67">
        <f>'Grafik KPI 2026'!C64</f>
        <v>0.93</v>
      </c>
      <c r="D35" s="67" t="str">
        <f>'Grafik KPI 2026'!D64</f>
        <v/>
      </c>
      <c r="E35" s="67">
        <f>'Grafik KPI 2026'!E64</f>
        <v>0.88</v>
      </c>
      <c r="F35" s="71" t="str">
        <f>'Grafik KPI 2026'!F64</f>
        <v/>
      </c>
      <c r="G35" s="71">
        <f>'Grafik KPI 2026'!G64</f>
        <v>205</v>
      </c>
      <c r="H35" s="69" t="str">
        <f>'Grafik KPI 2026'!H64</f>
        <v/>
      </c>
      <c r="I35" s="69">
        <f>'Grafik KPI 2026'!I64</f>
        <v>7.5</v>
      </c>
      <c r="J35" s="69" t="str">
        <f>'Grafik KPI 2026'!J64</f>
        <v/>
      </c>
      <c r="K35" s="69">
        <f>'Grafik KPI 2026'!K64</f>
        <v>1.55</v>
      </c>
      <c r="L35" s="69" t="str">
        <f>'Grafik KPI 2026'!L64</f>
        <v/>
      </c>
      <c r="M35" s="69">
        <f>'Grafik KPI 2026'!M64</f>
        <v>2.7</v>
      </c>
      <c r="N35" s="56">
        <f>'Grafik KPI 2026'!N64</f>
        <v>0</v>
      </c>
    </row>
    <row r="36" spans="1:14" x14ac:dyDescent="0.35">
      <c r="A36" s="65" t="str">
        <f>'Grafik KPI 2026'!A65</f>
        <v>W51</v>
      </c>
      <c r="B36" s="67" t="str">
        <f>'Grafik KPI 2026'!B65</f>
        <v/>
      </c>
      <c r="C36" s="67">
        <f>'Grafik KPI 2026'!C65</f>
        <v>0.93</v>
      </c>
      <c r="D36" s="67" t="str">
        <f>'Grafik KPI 2026'!D65</f>
        <v/>
      </c>
      <c r="E36" s="67">
        <f>'Grafik KPI 2026'!E65</f>
        <v>0.88</v>
      </c>
      <c r="F36" s="71" t="str">
        <f>'Grafik KPI 2026'!F65</f>
        <v/>
      </c>
      <c r="G36" s="71">
        <f>'Grafik KPI 2026'!G65</f>
        <v>205</v>
      </c>
      <c r="H36" s="69" t="str">
        <f>'Grafik KPI 2026'!H65</f>
        <v/>
      </c>
      <c r="I36" s="69">
        <f>'Grafik KPI 2026'!I65</f>
        <v>7.5</v>
      </c>
      <c r="J36" s="69" t="str">
        <f>'Grafik KPI 2026'!J65</f>
        <v/>
      </c>
      <c r="K36" s="69">
        <f>'Grafik KPI 2026'!K65</f>
        <v>1.55</v>
      </c>
      <c r="L36" s="69" t="str">
        <f>'Grafik KPI 2026'!L65</f>
        <v/>
      </c>
      <c r="M36" s="69">
        <f>'Grafik KPI 2026'!M65</f>
        <v>2.7</v>
      </c>
      <c r="N36" s="56">
        <f>'Grafik KPI 2026'!N65</f>
        <v>0</v>
      </c>
    </row>
    <row r="37" spans="1:14" x14ac:dyDescent="0.35">
      <c r="A37" s="65" t="str">
        <f>'Grafik KPI 2026'!A66</f>
        <v>W52</v>
      </c>
      <c r="B37" s="67" t="str">
        <f>'Grafik KPI 2026'!B66</f>
        <v/>
      </c>
      <c r="C37" s="67">
        <f>'Grafik KPI 2026'!C66</f>
        <v>0.93</v>
      </c>
      <c r="D37" s="67" t="str">
        <f>'Grafik KPI 2026'!D66</f>
        <v/>
      </c>
      <c r="E37" s="67">
        <f>'Grafik KPI 2026'!E66</f>
        <v>0.88</v>
      </c>
      <c r="F37" s="71" t="str">
        <f>'Grafik KPI 2026'!F66</f>
        <v/>
      </c>
      <c r="G37" s="71">
        <f>'Grafik KPI 2026'!G66</f>
        <v>205</v>
      </c>
      <c r="H37" s="69" t="str">
        <f>'Grafik KPI 2026'!H66</f>
        <v/>
      </c>
      <c r="I37" s="69">
        <f>'Grafik KPI 2026'!I66</f>
        <v>7.5</v>
      </c>
      <c r="J37" s="69" t="str">
        <f>'Grafik KPI 2026'!J66</f>
        <v/>
      </c>
      <c r="K37" s="69">
        <f>'Grafik KPI 2026'!K66</f>
        <v>1.55</v>
      </c>
      <c r="L37" s="69" t="str">
        <f>'Grafik KPI 2026'!L66</f>
        <v/>
      </c>
      <c r="M37" s="69">
        <f>'Grafik KPI 2026'!M66</f>
        <v>2.7</v>
      </c>
      <c r="N37" s="56">
        <f>'Grafik KPI 2026'!N66</f>
        <v>0</v>
      </c>
    </row>
    <row r="38" spans="1:14" x14ac:dyDescent="0.35">
      <c r="A38" s="66" t="str">
        <f>'Grafik KPI 2026'!A67</f>
        <v>W53</v>
      </c>
      <c r="B38" s="68" t="str">
        <f>'Grafik KPI 2026'!B67</f>
        <v/>
      </c>
      <c r="C38" s="68">
        <f>'Grafik KPI 2026'!C67</f>
        <v>0.93</v>
      </c>
      <c r="D38" s="68" t="str">
        <f>'Grafik KPI 2026'!D67</f>
        <v/>
      </c>
      <c r="E38" s="68">
        <f>'Grafik KPI 2026'!E67</f>
        <v>0.88</v>
      </c>
      <c r="F38" s="72" t="str">
        <f>'Grafik KPI 2026'!F67</f>
        <v/>
      </c>
      <c r="G38" s="72">
        <f>'Grafik KPI 2026'!G67</f>
        <v>205</v>
      </c>
      <c r="H38" s="70" t="str">
        <f>'Grafik KPI 2026'!H67</f>
        <v/>
      </c>
      <c r="I38" s="70">
        <f>'Grafik KPI 2026'!I67</f>
        <v>7.5</v>
      </c>
      <c r="J38" s="70" t="str">
        <f>'Grafik KPI 2026'!J67</f>
        <v/>
      </c>
      <c r="K38" s="70">
        <f>'Grafik KPI 2026'!K67</f>
        <v>1.55</v>
      </c>
      <c r="L38" s="70" t="str">
        <f>'Grafik KPI 2026'!L67</f>
        <v/>
      </c>
      <c r="M38" s="70">
        <f>'Grafik KPI 2026'!M67</f>
        <v>2.7</v>
      </c>
      <c r="N38" s="59">
        <f>'Grafik KPI 2026'!N67</f>
        <v>0</v>
      </c>
    </row>
    <row r="42" spans="1:14" x14ac:dyDescent="0.35">
      <c r="A42" s="74" t="s">
        <v>14</v>
      </c>
      <c r="B42" s="74" t="s">
        <v>46</v>
      </c>
    </row>
    <row r="43" spans="1:14" x14ac:dyDescent="0.35">
      <c r="A43" t="str">
        <f t="shared" ref="A43:A66" si="0">A15</f>
        <v>W30</v>
      </c>
      <c r="B43" s="35">
        <f t="shared" ref="B43:B66" si="1">N15</f>
        <v>0</v>
      </c>
    </row>
    <row r="44" spans="1:14" x14ac:dyDescent="0.35">
      <c r="A44" t="str">
        <f t="shared" si="0"/>
        <v>W31</v>
      </c>
      <c r="B44" s="35">
        <f t="shared" si="1"/>
        <v>13214.550000000001</v>
      </c>
    </row>
    <row r="45" spans="1:14" x14ac:dyDescent="0.35">
      <c r="A45" t="str">
        <f t="shared" si="0"/>
        <v>W32</v>
      </c>
      <c r="B45" s="35">
        <f t="shared" si="1"/>
        <v>24647.15</v>
      </c>
    </row>
    <row r="46" spans="1:14" x14ac:dyDescent="0.35">
      <c r="A46" t="str">
        <f t="shared" si="0"/>
        <v>W33</v>
      </c>
      <c r="B46" s="35">
        <f t="shared" si="1"/>
        <v>19858</v>
      </c>
    </row>
    <row r="47" spans="1:14" x14ac:dyDescent="0.35">
      <c r="A47" t="str">
        <f t="shared" si="0"/>
        <v>W34</v>
      </c>
      <c r="B47" s="35">
        <f t="shared" si="1"/>
        <v>0</v>
      </c>
    </row>
    <row r="48" spans="1:14" x14ac:dyDescent="0.35">
      <c r="A48" t="str">
        <f t="shared" si="0"/>
        <v>W35</v>
      </c>
      <c r="B48" s="35">
        <f t="shared" si="1"/>
        <v>28002.5</v>
      </c>
    </row>
    <row r="49" spans="1:2" x14ac:dyDescent="0.35">
      <c r="A49" t="str">
        <f t="shared" si="0"/>
        <v>W36</v>
      </c>
      <c r="B49" s="35">
        <f t="shared" si="1"/>
        <v>53901</v>
      </c>
    </row>
    <row r="50" spans="1:2" x14ac:dyDescent="0.35">
      <c r="A50" t="str">
        <f t="shared" si="0"/>
        <v>W37</v>
      </c>
      <c r="B50" s="35">
        <f t="shared" si="1"/>
        <v>13122.95</v>
      </c>
    </row>
    <row r="51" spans="1:2" x14ac:dyDescent="0.35">
      <c r="A51" t="str">
        <f t="shared" si="0"/>
        <v>W38</v>
      </c>
      <c r="B51" s="35">
        <f t="shared" si="1"/>
        <v>40318.199999999997</v>
      </c>
    </row>
    <row r="52" spans="1:2" x14ac:dyDescent="0.35">
      <c r="A52" t="str">
        <f t="shared" si="0"/>
        <v>W39</v>
      </c>
      <c r="B52" s="35">
        <f t="shared" si="1"/>
        <v>97726.499999999985</v>
      </c>
    </row>
    <row r="53" spans="1:2" x14ac:dyDescent="0.35">
      <c r="A53" t="str">
        <f t="shared" si="0"/>
        <v>W40</v>
      </c>
      <c r="B53" s="35">
        <f t="shared" si="1"/>
        <v>125803.6967936508</v>
      </c>
    </row>
    <row r="54" spans="1:2" x14ac:dyDescent="0.35">
      <c r="A54" t="str">
        <f t="shared" si="0"/>
        <v>W41</v>
      </c>
      <c r="B54" s="35">
        <f t="shared" si="1"/>
        <v>153924.89555555556</v>
      </c>
    </row>
    <row r="55" spans="1:2" x14ac:dyDescent="0.35">
      <c r="A55" t="str">
        <f t="shared" si="0"/>
        <v>W42</v>
      </c>
      <c r="B55" s="35">
        <f t="shared" si="1"/>
        <v>0</v>
      </c>
    </row>
    <row r="56" spans="1:2" x14ac:dyDescent="0.35">
      <c r="A56" t="str">
        <f t="shared" si="0"/>
        <v>W43</v>
      </c>
      <c r="B56" s="35">
        <f t="shared" si="1"/>
        <v>0</v>
      </c>
    </row>
    <row r="57" spans="1:2" x14ac:dyDescent="0.35">
      <c r="A57" t="str">
        <f t="shared" si="0"/>
        <v>W44</v>
      </c>
      <c r="B57" s="35">
        <f t="shared" si="1"/>
        <v>0</v>
      </c>
    </row>
    <row r="58" spans="1:2" x14ac:dyDescent="0.35">
      <c r="A58" t="str">
        <f t="shared" si="0"/>
        <v>W45</v>
      </c>
      <c r="B58" s="35">
        <f t="shared" si="1"/>
        <v>0</v>
      </c>
    </row>
    <row r="59" spans="1:2" x14ac:dyDescent="0.35">
      <c r="A59" t="str">
        <f t="shared" si="0"/>
        <v>W46</v>
      </c>
      <c r="B59" s="35">
        <f t="shared" si="1"/>
        <v>0</v>
      </c>
    </row>
    <row r="60" spans="1:2" x14ac:dyDescent="0.35">
      <c r="A60" t="str">
        <f t="shared" si="0"/>
        <v>W47</v>
      </c>
      <c r="B60" s="35">
        <f t="shared" si="1"/>
        <v>0</v>
      </c>
    </row>
    <row r="61" spans="1:2" x14ac:dyDescent="0.35">
      <c r="A61" t="str">
        <f t="shared" si="0"/>
        <v>W48</v>
      </c>
      <c r="B61" s="35">
        <f t="shared" si="1"/>
        <v>0</v>
      </c>
    </row>
    <row r="62" spans="1:2" x14ac:dyDescent="0.35">
      <c r="A62" t="str">
        <f t="shared" si="0"/>
        <v>W49</v>
      </c>
      <c r="B62" s="35">
        <f t="shared" si="1"/>
        <v>0</v>
      </c>
    </row>
    <row r="63" spans="1:2" x14ac:dyDescent="0.35">
      <c r="A63" t="str">
        <f t="shared" si="0"/>
        <v>W50</v>
      </c>
      <c r="B63" s="35">
        <f t="shared" si="1"/>
        <v>0</v>
      </c>
    </row>
    <row r="64" spans="1:2" x14ac:dyDescent="0.35">
      <c r="A64" t="str">
        <f t="shared" si="0"/>
        <v>W51</v>
      </c>
      <c r="B64" s="35">
        <f t="shared" si="1"/>
        <v>0</v>
      </c>
    </row>
    <row r="65" spans="1:38" x14ac:dyDescent="0.35">
      <c r="A65" t="str">
        <f t="shared" si="0"/>
        <v>W52</v>
      </c>
      <c r="B65" s="35">
        <f t="shared" si="1"/>
        <v>0</v>
      </c>
    </row>
    <row r="66" spans="1:38" x14ac:dyDescent="0.35">
      <c r="A66" t="str">
        <f t="shared" si="0"/>
        <v>W53</v>
      </c>
      <c r="B66" s="35">
        <f t="shared" si="1"/>
        <v>0</v>
      </c>
    </row>
    <row r="75" spans="1:38" x14ac:dyDescent="0.35">
      <c r="P75" s="74" t="s">
        <v>14</v>
      </c>
      <c r="Q75" s="74" t="s">
        <v>34</v>
      </c>
      <c r="R75" s="74" t="s">
        <v>35</v>
      </c>
      <c r="T75" s="74" t="s">
        <v>14</v>
      </c>
      <c r="U75" s="74" t="s">
        <v>36</v>
      </c>
      <c r="V75" s="74" t="s">
        <v>37</v>
      </c>
      <c r="X75" s="74" t="s">
        <v>14</v>
      </c>
      <c r="Y75" s="74" t="s">
        <v>38</v>
      </c>
      <c r="Z75" s="74" t="s">
        <v>39</v>
      </c>
      <c r="AB75" s="74" t="s">
        <v>14</v>
      </c>
      <c r="AC75" s="74" t="s">
        <v>40</v>
      </c>
      <c r="AD75" s="74" t="s">
        <v>41</v>
      </c>
      <c r="AF75" s="74" t="s">
        <v>14</v>
      </c>
      <c r="AG75" s="74" t="s">
        <v>42</v>
      </c>
      <c r="AH75" s="74" t="s">
        <v>43</v>
      </c>
      <c r="AJ75" s="74" t="s">
        <v>14</v>
      </c>
      <c r="AK75" s="74" t="s">
        <v>44</v>
      </c>
      <c r="AL75" s="74" t="s">
        <v>45</v>
      </c>
    </row>
    <row r="76" spans="1:38" x14ac:dyDescent="0.35">
      <c r="P76" t="str">
        <f t="shared" ref="P76:P99" si="2">A15</f>
        <v>W30</v>
      </c>
      <c r="Q76" t="str">
        <f t="shared" ref="Q76:Q99" si="3">B15</f>
        <v/>
      </c>
      <c r="R76">
        <f t="shared" ref="R76:R99" si="4">C15</f>
        <v>0.93</v>
      </c>
      <c r="T76" t="str">
        <f t="shared" ref="T76:T99" si="5">A15</f>
        <v>W30</v>
      </c>
      <c r="U76" s="107">
        <v>0</v>
      </c>
      <c r="V76">
        <f t="shared" ref="V76:V99" si="6">E15</f>
        <v>0.88</v>
      </c>
      <c r="X76" t="str">
        <f t="shared" ref="X76:X99" si="7">A15</f>
        <v>W30</v>
      </c>
      <c r="Y76" s="108">
        <v>0</v>
      </c>
      <c r="Z76">
        <f t="shared" ref="Z76:Z99" si="8">G15</f>
        <v>205</v>
      </c>
      <c r="AB76" t="str">
        <f t="shared" ref="AB76:AB99" si="9">A15</f>
        <v>W30</v>
      </c>
      <c r="AC76" s="20">
        <v>0</v>
      </c>
      <c r="AD76">
        <f t="shared" ref="AD76:AD99" si="10">I15</f>
        <v>7.5</v>
      </c>
      <c r="AF76" t="str">
        <f t="shared" ref="AF76:AF99" si="11">A15</f>
        <v>W30</v>
      </c>
      <c r="AG76" t="str">
        <f t="shared" ref="AG76:AG99" si="12">J15</f>
        <v/>
      </c>
      <c r="AH76">
        <f t="shared" ref="AH76:AH99" si="13">K15</f>
        <v>1.55</v>
      </c>
      <c r="AJ76" t="str">
        <f t="shared" ref="AJ76:AJ99" si="14">A15</f>
        <v>W30</v>
      </c>
      <c r="AK76" s="19">
        <v>0</v>
      </c>
      <c r="AL76">
        <f t="shared" ref="AL76:AL99" si="15">M15</f>
        <v>2.7</v>
      </c>
    </row>
    <row r="77" spans="1:38" x14ac:dyDescent="0.35">
      <c r="P77" t="str">
        <f t="shared" si="2"/>
        <v>W31</v>
      </c>
      <c r="Q77">
        <f t="shared" si="3"/>
        <v>0.98084000000000005</v>
      </c>
      <c r="R77">
        <f t="shared" si="4"/>
        <v>0.93</v>
      </c>
      <c r="T77" t="str">
        <f t="shared" si="5"/>
        <v>W31</v>
      </c>
      <c r="U77" s="107">
        <f t="shared" ref="U76:U99" si="16">D16</f>
        <v>0.49427333722563283</v>
      </c>
      <c r="V77">
        <f t="shared" si="6"/>
        <v>0.88</v>
      </c>
      <c r="X77" t="str">
        <f t="shared" si="7"/>
        <v>W31</v>
      </c>
      <c r="Y77" s="108">
        <f t="shared" ref="Y76:Y99" si="17">F16</f>
        <v>207.15492540792542</v>
      </c>
      <c r="Z77">
        <f t="shared" si="8"/>
        <v>205</v>
      </c>
      <c r="AB77" t="str">
        <f t="shared" si="9"/>
        <v>W31</v>
      </c>
      <c r="AC77" s="20">
        <f t="shared" ref="AC76:AC99" si="18">H16</f>
        <v>11.296762774658461</v>
      </c>
      <c r="AD77">
        <f t="shared" si="10"/>
        <v>7.5</v>
      </c>
      <c r="AF77" t="str">
        <f t="shared" si="11"/>
        <v>W31</v>
      </c>
      <c r="AG77" s="93">
        <f t="shared" si="12"/>
        <v>1.7917364976551728</v>
      </c>
      <c r="AH77">
        <f t="shared" si="13"/>
        <v>1.55</v>
      </c>
      <c r="AJ77" t="str">
        <f t="shared" si="14"/>
        <v>W31</v>
      </c>
      <c r="AK77" s="19">
        <f t="shared" ref="AK76:AK99" si="19">L16</f>
        <v>1.0309523809523808</v>
      </c>
      <c r="AL77">
        <f t="shared" si="15"/>
        <v>2.7</v>
      </c>
    </row>
    <row r="78" spans="1:38" x14ac:dyDescent="0.35">
      <c r="P78" t="str">
        <f t="shared" si="2"/>
        <v>W32</v>
      </c>
      <c r="Q78">
        <f t="shared" si="3"/>
        <v>0.97647142857142855</v>
      </c>
      <c r="R78">
        <f t="shared" si="4"/>
        <v>0.93</v>
      </c>
      <c r="T78" t="str">
        <f t="shared" si="5"/>
        <v>W32</v>
      </c>
      <c r="U78" s="107">
        <f t="shared" si="16"/>
        <v>0.51370786013774805</v>
      </c>
      <c r="V78">
        <f t="shared" si="6"/>
        <v>0.88</v>
      </c>
      <c r="X78" t="str">
        <f t="shared" si="7"/>
        <v>W32</v>
      </c>
      <c r="Y78" s="108">
        <f t="shared" si="17"/>
        <v>201.82161755491668</v>
      </c>
      <c r="Z78">
        <f t="shared" si="8"/>
        <v>205</v>
      </c>
      <c r="AB78" t="str">
        <f t="shared" si="9"/>
        <v>W32</v>
      </c>
      <c r="AC78" s="20">
        <f t="shared" si="18"/>
        <v>10.928521728364416</v>
      </c>
      <c r="AD78">
        <f t="shared" si="10"/>
        <v>7.5</v>
      </c>
      <c r="AF78" t="str">
        <f t="shared" si="11"/>
        <v>W32</v>
      </c>
      <c r="AG78" s="93">
        <f t="shared" si="12"/>
        <v>1.7270515485236027</v>
      </c>
      <c r="AH78">
        <f t="shared" si="13"/>
        <v>1.55</v>
      </c>
      <c r="AJ78" t="str">
        <f t="shared" si="14"/>
        <v>W32</v>
      </c>
      <c r="AK78" s="19">
        <f t="shared" si="19"/>
        <v>1.1095238095238096</v>
      </c>
      <c r="AL78">
        <f t="shared" si="15"/>
        <v>2.7</v>
      </c>
    </row>
    <row r="79" spans="1:38" x14ac:dyDescent="0.35">
      <c r="P79" t="str">
        <f t="shared" si="2"/>
        <v>W33</v>
      </c>
      <c r="Q79">
        <f t="shared" si="3"/>
        <v>0.97</v>
      </c>
      <c r="R79">
        <f t="shared" si="4"/>
        <v>0.93</v>
      </c>
      <c r="T79" t="str">
        <f t="shared" si="5"/>
        <v>W33</v>
      </c>
      <c r="U79" s="107">
        <f t="shared" si="16"/>
        <v>0.62967531848127778</v>
      </c>
      <c r="V79">
        <f t="shared" si="6"/>
        <v>0.88</v>
      </c>
      <c r="X79" t="str">
        <f t="shared" si="7"/>
        <v>W33</v>
      </c>
      <c r="Y79" s="108">
        <f t="shared" si="17"/>
        <v>205.59217857142858</v>
      </c>
      <c r="Z79">
        <f t="shared" si="8"/>
        <v>205</v>
      </c>
      <c r="AB79" t="str">
        <f t="shared" si="9"/>
        <v>W33</v>
      </c>
      <c r="AC79" s="20">
        <f t="shared" si="18"/>
        <v>12.414765575847641</v>
      </c>
      <c r="AD79">
        <f t="shared" si="10"/>
        <v>7.5</v>
      </c>
      <c r="AF79" t="str">
        <f t="shared" si="11"/>
        <v>W33</v>
      </c>
      <c r="AG79" s="93">
        <f t="shared" si="12"/>
        <v>1.4745641016431528</v>
      </c>
      <c r="AH79">
        <f t="shared" si="13"/>
        <v>1.55</v>
      </c>
      <c r="AJ79" t="str">
        <f t="shared" si="14"/>
        <v>W33</v>
      </c>
      <c r="AK79" s="19">
        <f t="shared" si="19"/>
        <v>1.2124183006535947</v>
      </c>
      <c r="AL79">
        <f t="shared" si="15"/>
        <v>2.7</v>
      </c>
    </row>
    <row r="80" spans="1:38" x14ac:dyDescent="0.35">
      <c r="P80" t="str">
        <f t="shared" si="2"/>
        <v>W34</v>
      </c>
      <c r="Q80" t="str">
        <f t="shared" si="3"/>
        <v/>
      </c>
      <c r="R80">
        <f t="shared" si="4"/>
        <v>0.93</v>
      </c>
      <c r="T80" t="str">
        <f t="shared" si="5"/>
        <v>W34</v>
      </c>
      <c r="U80" s="107" t="str">
        <f t="shared" si="16"/>
        <v/>
      </c>
      <c r="V80">
        <f t="shared" si="6"/>
        <v>0.88</v>
      </c>
      <c r="X80" t="str">
        <f t="shared" si="7"/>
        <v>W34</v>
      </c>
      <c r="Y80" s="108">
        <v>0</v>
      </c>
      <c r="Z80">
        <f t="shared" si="8"/>
        <v>205</v>
      </c>
      <c r="AB80" t="str">
        <f t="shared" si="9"/>
        <v>W34</v>
      </c>
      <c r="AC80" s="20">
        <v>0</v>
      </c>
      <c r="AD80">
        <f t="shared" si="10"/>
        <v>7.5</v>
      </c>
      <c r="AF80" t="str">
        <f t="shared" si="11"/>
        <v>W34</v>
      </c>
      <c r="AG80" s="93" t="str">
        <f t="shared" si="12"/>
        <v/>
      </c>
      <c r="AH80">
        <f t="shared" si="13"/>
        <v>1.55</v>
      </c>
      <c r="AJ80" t="str">
        <f t="shared" si="14"/>
        <v>W34</v>
      </c>
      <c r="AK80" s="19">
        <v>0</v>
      </c>
      <c r="AL80">
        <f t="shared" si="15"/>
        <v>2.7</v>
      </c>
    </row>
    <row r="81" spans="16:38" x14ac:dyDescent="0.35">
      <c r="P81" t="str">
        <f t="shared" si="2"/>
        <v>W35</v>
      </c>
      <c r="Q81">
        <f t="shared" si="3"/>
        <v>0.97830000000000017</v>
      </c>
      <c r="R81">
        <f t="shared" si="4"/>
        <v>0.93</v>
      </c>
      <c r="T81" t="str">
        <f t="shared" si="5"/>
        <v>W35</v>
      </c>
      <c r="U81" s="107">
        <f t="shared" si="16"/>
        <v>0.55890363362791362</v>
      </c>
      <c r="V81">
        <f t="shared" si="6"/>
        <v>0.88</v>
      </c>
      <c r="X81" t="str">
        <f t="shared" si="7"/>
        <v>W35</v>
      </c>
      <c r="Y81" s="108">
        <f t="shared" si="17"/>
        <v>205.70297735160199</v>
      </c>
      <c r="Z81">
        <f t="shared" si="8"/>
        <v>205</v>
      </c>
      <c r="AB81" t="str">
        <f t="shared" si="9"/>
        <v>W35</v>
      </c>
      <c r="AC81" s="20">
        <f t="shared" si="18"/>
        <v>9.2756071465678609</v>
      </c>
      <c r="AD81">
        <f t="shared" si="10"/>
        <v>7.5</v>
      </c>
      <c r="AF81" t="str">
        <f t="shared" si="11"/>
        <v>W35</v>
      </c>
      <c r="AG81" s="93">
        <f t="shared" si="12"/>
        <v>1.7963769312270017</v>
      </c>
      <c r="AH81">
        <f t="shared" si="13"/>
        <v>1.55</v>
      </c>
      <c r="AJ81" t="str">
        <f t="shared" si="14"/>
        <v>W35</v>
      </c>
      <c r="AK81" s="19">
        <f t="shared" si="19"/>
        <v>1.4577777777777776</v>
      </c>
      <c r="AL81">
        <f t="shared" si="15"/>
        <v>2.7</v>
      </c>
    </row>
    <row r="82" spans="16:38" x14ac:dyDescent="0.35">
      <c r="P82" t="str">
        <f t="shared" si="2"/>
        <v>W36</v>
      </c>
      <c r="Q82">
        <f t="shared" si="3"/>
        <v>0.97714285714285709</v>
      </c>
      <c r="R82">
        <f t="shared" si="4"/>
        <v>0.93</v>
      </c>
      <c r="T82" t="str">
        <f t="shared" si="5"/>
        <v>W36</v>
      </c>
      <c r="U82" s="107">
        <f t="shared" si="16"/>
        <v>0.53618580179446373</v>
      </c>
      <c r="V82">
        <f t="shared" si="6"/>
        <v>0.88</v>
      </c>
      <c r="X82" t="str">
        <f t="shared" si="7"/>
        <v>W36</v>
      </c>
      <c r="Y82" s="108">
        <f t="shared" si="17"/>
        <v>206.13746197190244</v>
      </c>
      <c r="Z82">
        <f t="shared" si="8"/>
        <v>205</v>
      </c>
      <c r="AB82" t="str">
        <f t="shared" si="9"/>
        <v>W36</v>
      </c>
      <c r="AC82" s="20">
        <f t="shared" si="18"/>
        <v>8.8385557040527516</v>
      </c>
      <c r="AD82">
        <f t="shared" si="10"/>
        <v>7.5</v>
      </c>
      <c r="AF82" t="str">
        <f t="shared" si="11"/>
        <v>W36</v>
      </c>
      <c r="AG82" s="93">
        <f t="shared" si="12"/>
        <v>1.699270237102686</v>
      </c>
      <c r="AH82">
        <f t="shared" si="13"/>
        <v>1.55</v>
      </c>
      <c r="AJ82" t="str">
        <f t="shared" si="14"/>
        <v>W36</v>
      </c>
      <c r="AK82" s="19">
        <f t="shared" si="19"/>
        <v>1.4387755102040816</v>
      </c>
      <c r="AL82">
        <f t="shared" si="15"/>
        <v>2.7</v>
      </c>
    </row>
    <row r="83" spans="16:38" x14ac:dyDescent="0.35">
      <c r="P83" t="str">
        <f t="shared" si="2"/>
        <v>W37</v>
      </c>
      <c r="Q83">
        <f t="shared" si="3"/>
        <v>0.99</v>
      </c>
      <c r="R83">
        <f t="shared" si="4"/>
        <v>0.93</v>
      </c>
      <c r="T83" t="str">
        <f t="shared" si="5"/>
        <v>W37</v>
      </c>
      <c r="U83" s="107">
        <f t="shared" si="16"/>
        <v>0.40697458729237151</v>
      </c>
      <c r="V83">
        <f t="shared" si="6"/>
        <v>0.88</v>
      </c>
      <c r="X83" t="str">
        <f t="shared" si="7"/>
        <v>W37</v>
      </c>
      <c r="Y83" s="108">
        <f t="shared" si="17"/>
        <v>209.12289002557543</v>
      </c>
      <c r="Z83">
        <f t="shared" si="8"/>
        <v>205</v>
      </c>
      <c r="AB83" t="str">
        <f t="shared" si="9"/>
        <v>W37</v>
      </c>
      <c r="AC83" s="20">
        <f t="shared" si="18"/>
        <v>6.8638621490495773</v>
      </c>
      <c r="AD83">
        <f t="shared" si="10"/>
        <v>7.5</v>
      </c>
      <c r="AF83" t="str">
        <f t="shared" si="11"/>
        <v>W37</v>
      </c>
      <c r="AG83" s="93">
        <f t="shared" si="12"/>
        <v>1.3639608222156512</v>
      </c>
      <c r="AH83">
        <f t="shared" si="13"/>
        <v>1.55</v>
      </c>
      <c r="AJ83" t="str">
        <f t="shared" si="14"/>
        <v>W37</v>
      </c>
      <c r="AK83" s="19">
        <f t="shared" si="19"/>
        <v>1.42</v>
      </c>
      <c r="AL83">
        <f t="shared" si="15"/>
        <v>2.7</v>
      </c>
    </row>
    <row r="84" spans="16:38" x14ac:dyDescent="0.35">
      <c r="P84" t="str">
        <f t="shared" si="2"/>
        <v>W38</v>
      </c>
      <c r="Q84">
        <f t="shared" si="3"/>
        <v>0.97833333333333317</v>
      </c>
      <c r="R84">
        <f t="shared" si="4"/>
        <v>0.93</v>
      </c>
      <c r="T84" t="str">
        <f t="shared" si="5"/>
        <v>W38</v>
      </c>
      <c r="U84" s="107">
        <f t="shared" si="16"/>
        <v>0.47260822320348317</v>
      </c>
      <c r="V84">
        <f t="shared" si="6"/>
        <v>0.88</v>
      </c>
      <c r="X84" t="str">
        <f t="shared" si="7"/>
        <v>W38</v>
      </c>
      <c r="Y84" s="108">
        <f t="shared" si="17"/>
        <v>206.76634242091973</v>
      </c>
      <c r="Z84">
        <f t="shared" si="8"/>
        <v>205</v>
      </c>
      <c r="AB84" t="str">
        <f t="shared" si="9"/>
        <v>W38</v>
      </c>
      <c r="AC84" s="20">
        <f t="shared" si="18"/>
        <v>9.3969817709951151</v>
      </c>
      <c r="AD84">
        <f t="shared" si="10"/>
        <v>7.5</v>
      </c>
      <c r="AF84" t="str">
        <f t="shared" si="11"/>
        <v>W38</v>
      </c>
      <c r="AG84" s="93">
        <f t="shared" si="12"/>
        <v>1.7823835688877434</v>
      </c>
      <c r="AH84">
        <f t="shared" si="13"/>
        <v>1.55</v>
      </c>
      <c r="AJ84" t="str">
        <f t="shared" si="14"/>
        <v>W38</v>
      </c>
      <c r="AK84" s="19">
        <f t="shared" si="19"/>
        <v>1.2013888888888888</v>
      </c>
      <c r="AL84">
        <f t="shared" si="15"/>
        <v>2.7</v>
      </c>
    </row>
    <row r="85" spans="16:38" x14ac:dyDescent="0.35">
      <c r="P85" t="str">
        <f t="shared" si="2"/>
        <v>W39</v>
      </c>
      <c r="Q85">
        <f t="shared" si="3"/>
        <v>0.98457142857142876</v>
      </c>
      <c r="R85">
        <f t="shared" si="4"/>
        <v>0.93</v>
      </c>
      <c r="T85" t="str">
        <f t="shared" si="5"/>
        <v>W39</v>
      </c>
      <c r="U85" s="107">
        <f t="shared" si="16"/>
        <v>0.77337827856043795</v>
      </c>
      <c r="V85">
        <f t="shared" si="6"/>
        <v>0.88</v>
      </c>
      <c r="X85" t="str">
        <f t="shared" si="7"/>
        <v>W39</v>
      </c>
      <c r="Y85" s="108">
        <f t="shared" si="17"/>
        <v>203.20997796449214</v>
      </c>
      <c r="Z85">
        <f t="shared" si="8"/>
        <v>205</v>
      </c>
      <c r="AB85" t="str">
        <f t="shared" si="9"/>
        <v>W39</v>
      </c>
      <c r="AC85" s="20">
        <f t="shared" si="18"/>
        <v>6.9223640978360068</v>
      </c>
      <c r="AD85">
        <f t="shared" si="10"/>
        <v>7.5</v>
      </c>
      <c r="AF85" t="str">
        <f t="shared" si="11"/>
        <v>W39</v>
      </c>
      <c r="AG85" s="93">
        <f t="shared" si="12"/>
        <v>1.4626601158545267</v>
      </c>
      <c r="AH85">
        <f t="shared" si="13"/>
        <v>1.55</v>
      </c>
      <c r="AJ85" t="str">
        <f t="shared" si="14"/>
        <v>W39</v>
      </c>
      <c r="AK85" s="19">
        <f t="shared" si="19"/>
        <v>2.654863945578231</v>
      </c>
      <c r="AL85">
        <f t="shared" si="15"/>
        <v>2.7</v>
      </c>
    </row>
    <row r="86" spans="16:38" x14ac:dyDescent="0.35">
      <c r="P86" t="str">
        <f t="shared" si="2"/>
        <v>W40</v>
      </c>
      <c r="Q86">
        <f t="shared" si="3"/>
        <v>0.97099999999999986</v>
      </c>
      <c r="R86">
        <f t="shared" si="4"/>
        <v>0.93</v>
      </c>
      <c r="T86" t="str">
        <f t="shared" si="5"/>
        <v>W40</v>
      </c>
      <c r="U86" s="107">
        <f t="shared" si="16"/>
        <v>0.81661528666582472</v>
      </c>
      <c r="V86">
        <f t="shared" si="6"/>
        <v>0.88</v>
      </c>
      <c r="X86" t="str">
        <f t="shared" si="7"/>
        <v>W40</v>
      </c>
      <c r="Y86" s="108">
        <f t="shared" si="17"/>
        <v>204.21473456768777</v>
      </c>
      <c r="Z86">
        <f t="shared" si="8"/>
        <v>205</v>
      </c>
      <c r="AB86" t="str">
        <f t="shared" si="9"/>
        <v>W40</v>
      </c>
      <c r="AC86" s="20">
        <f t="shared" si="18"/>
        <v>8.2388707154797949</v>
      </c>
      <c r="AD86">
        <f t="shared" si="10"/>
        <v>7.5</v>
      </c>
      <c r="AF86" t="str">
        <f t="shared" si="11"/>
        <v>W40</v>
      </c>
      <c r="AG86" s="93">
        <f t="shared" si="12"/>
        <v>1.564545954604839</v>
      </c>
      <c r="AH86">
        <f t="shared" si="13"/>
        <v>1.55</v>
      </c>
      <c r="AJ86" t="str">
        <f t="shared" si="14"/>
        <v>W40</v>
      </c>
      <c r="AK86" s="19">
        <f t="shared" si="19"/>
        <v>2.7176992442773171</v>
      </c>
      <c r="AL86">
        <f t="shared" si="15"/>
        <v>2.7</v>
      </c>
    </row>
    <row r="87" spans="16:38" x14ac:dyDescent="0.35">
      <c r="P87" t="str">
        <f t="shared" si="2"/>
        <v>W41</v>
      </c>
      <c r="Q87">
        <f t="shared" si="3"/>
        <v>0.96234999999999993</v>
      </c>
      <c r="R87">
        <f t="shared" si="4"/>
        <v>0.93</v>
      </c>
      <c r="T87" t="str">
        <f t="shared" si="5"/>
        <v>W41</v>
      </c>
      <c r="U87" s="107">
        <f t="shared" si="16"/>
        <v>0.8382944241368856</v>
      </c>
      <c r="V87">
        <f t="shared" si="6"/>
        <v>0.88</v>
      </c>
      <c r="X87" t="str">
        <f t="shared" si="7"/>
        <v>W41</v>
      </c>
      <c r="Y87" s="108">
        <f t="shared" si="17"/>
        <v>205.54365305685531</v>
      </c>
      <c r="Z87">
        <f t="shared" si="8"/>
        <v>205</v>
      </c>
      <c r="AB87" t="str">
        <f t="shared" si="9"/>
        <v>W41</v>
      </c>
      <c r="AC87" s="20">
        <f t="shared" si="18"/>
        <v>8.7175883830978389</v>
      </c>
      <c r="AD87">
        <f t="shared" si="10"/>
        <v>7.5</v>
      </c>
      <c r="AF87" t="str">
        <f t="shared" si="11"/>
        <v>W41</v>
      </c>
      <c r="AG87" s="93">
        <f t="shared" si="12"/>
        <v>1.5333967039873861</v>
      </c>
      <c r="AH87">
        <f t="shared" si="13"/>
        <v>1.55</v>
      </c>
      <c r="AJ87" t="str">
        <f t="shared" si="14"/>
        <v>W41</v>
      </c>
      <c r="AK87" s="19">
        <f t="shared" si="19"/>
        <v>2.611599160607569</v>
      </c>
      <c r="AL87">
        <f t="shared" si="15"/>
        <v>2.7</v>
      </c>
    </row>
    <row r="88" spans="16:38" x14ac:dyDescent="0.35">
      <c r="P88" t="str">
        <f t="shared" si="2"/>
        <v>W42</v>
      </c>
      <c r="Q88" t="str">
        <f t="shared" si="3"/>
        <v/>
      </c>
      <c r="R88">
        <f t="shared" si="4"/>
        <v>0.93</v>
      </c>
      <c r="T88" t="str">
        <f t="shared" si="5"/>
        <v>W42</v>
      </c>
      <c r="U88" t="str">
        <f t="shared" si="16"/>
        <v/>
      </c>
      <c r="V88">
        <f t="shared" si="6"/>
        <v>0.88</v>
      </c>
      <c r="X88" t="str">
        <f t="shared" si="7"/>
        <v>W42</v>
      </c>
      <c r="Y88" t="str">
        <f t="shared" si="17"/>
        <v/>
      </c>
      <c r="Z88">
        <f t="shared" si="8"/>
        <v>205</v>
      </c>
      <c r="AB88" t="str">
        <f t="shared" si="9"/>
        <v>W42</v>
      </c>
      <c r="AC88" t="str">
        <f t="shared" si="18"/>
        <v/>
      </c>
      <c r="AD88">
        <f t="shared" si="10"/>
        <v>7.5</v>
      </c>
      <c r="AF88" t="str">
        <f t="shared" si="11"/>
        <v>W42</v>
      </c>
      <c r="AG88" t="str">
        <f t="shared" si="12"/>
        <v/>
      </c>
      <c r="AH88">
        <f t="shared" si="13"/>
        <v>1.55</v>
      </c>
      <c r="AJ88" t="str">
        <f t="shared" si="14"/>
        <v>W42</v>
      </c>
      <c r="AK88" t="str">
        <f t="shared" si="19"/>
        <v/>
      </c>
      <c r="AL88">
        <f t="shared" si="15"/>
        <v>2.7</v>
      </c>
    </row>
    <row r="89" spans="16:38" x14ac:dyDescent="0.35">
      <c r="P89" t="str">
        <f t="shared" si="2"/>
        <v>W43</v>
      </c>
      <c r="Q89" t="str">
        <f t="shared" si="3"/>
        <v/>
      </c>
      <c r="R89">
        <f t="shared" si="4"/>
        <v>0.93</v>
      </c>
      <c r="T89" t="str">
        <f t="shared" si="5"/>
        <v>W43</v>
      </c>
      <c r="U89" t="str">
        <f t="shared" si="16"/>
        <v/>
      </c>
      <c r="V89">
        <f t="shared" si="6"/>
        <v>0.88</v>
      </c>
      <c r="X89" t="str">
        <f t="shared" si="7"/>
        <v>W43</v>
      </c>
      <c r="Y89" t="str">
        <f t="shared" si="17"/>
        <v/>
      </c>
      <c r="Z89">
        <f t="shared" si="8"/>
        <v>205</v>
      </c>
      <c r="AB89" t="str">
        <f t="shared" si="9"/>
        <v>W43</v>
      </c>
      <c r="AC89" t="str">
        <f t="shared" si="18"/>
        <v/>
      </c>
      <c r="AD89">
        <f t="shared" si="10"/>
        <v>7.5</v>
      </c>
      <c r="AF89" t="str">
        <f t="shared" si="11"/>
        <v>W43</v>
      </c>
      <c r="AG89" t="str">
        <f t="shared" si="12"/>
        <v/>
      </c>
      <c r="AH89">
        <f t="shared" si="13"/>
        <v>1.55</v>
      </c>
      <c r="AJ89" t="str">
        <f t="shared" si="14"/>
        <v>W43</v>
      </c>
      <c r="AK89" t="str">
        <f t="shared" si="19"/>
        <v/>
      </c>
      <c r="AL89">
        <f t="shared" si="15"/>
        <v>2.7</v>
      </c>
    </row>
    <row r="90" spans="16:38" x14ac:dyDescent="0.35">
      <c r="P90" t="str">
        <f t="shared" si="2"/>
        <v>W44</v>
      </c>
      <c r="Q90" t="str">
        <f t="shared" si="3"/>
        <v/>
      </c>
      <c r="R90">
        <f t="shared" si="4"/>
        <v>0.93</v>
      </c>
      <c r="T90" t="str">
        <f t="shared" si="5"/>
        <v>W44</v>
      </c>
      <c r="U90" t="str">
        <f t="shared" si="16"/>
        <v/>
      </c>
      <c r="V90">
        <f t="shared" si="6"/>
        <v>0.88</v>
      </c>
      <c r="X90" t="str">
        <f t="shared" si="7"/>
        <v>W44</v>
      </c>
      <c r="Y90" t="str">
        <f t="shared" si="17"/>
        <v/>
      </c>
      <c r="Z90">
        <f t="shared" si="8"/>
        <v>205</v>
      </c>
      <c r="AB90" t="str">
        <f t="shared" si="9"/>
        <v>W44</v>
      </c>
      <c r="AC90" t="str">
        <f t="shared" si="18"/>
        <v/>
      </c>
      <c r="AD90">
        <f t="shared" si="10"/>
        <v>7.5</v>
      </c>
      <c r="AF90" t="str">
        <f t="shared" si="11"/>
        <v>W44</v>
      </c>
      <c r="AG90" t="str">
        <f t="shared" si="12"/>
        <v/>
      </c>
      <c r="AH90">
        <f t="shared" si="13"/>
        <v>1.55</v>
      </c>
      <c r="AJ90" t="str">
        <f t="shared" si="14"/>
        <v>W44</v>
      </c>
      <c r="AK90" t="str">
        <f t="shared" si="19"/>
        <v/>
      </c>
      <c r="AL90">
        <f t="shared" si="15"/>
        <v>2.7</v>
      </c>
    </row>
    <row r="91" spans="16:38" x14ac:dyDescent="0.35">
      <c r="P91" t="str">
        <f t="shared" si="2"/>
        <v>W45</v>
      </c>
      <c r="Q91" t="str">
        <f t="shared" si="3"/>
        <v/>
      </c>
      <c r="R91">
        <f t="shared" si="4"/>
        <v>0.93</v>
      </c>
      <c r="T91" t="str">
        <f t="shared" si="5"/>
        <v>W45</v>
      </c>
      <c r="U91" t="str">
        <f t="shared" si="16"/>
        <v/>
      </c>
      <c r="V91">
        <f t="shared" si="6"/>
        <v>0.88</v>
      </c>
      <c r="X91" t="str">
        <f t="shared" si="7"/>
        <v>W45</v>
      </c>
      <c r="Y91" t="str">
        <f t="shared" si="17"/>
        <v/>
      </c>
      <c r="Z91">
        <f t="shared" si="8"/>
        <v>205</v>
      </c>
      <c r="AB91" t="str">
        <f t="shared" si="9"/>
        <v>W45</v>
      </c>
      <c r="AC91" t="str">
        <f t="shared" si="18"/>
        <v/>
      </c>
      <c r="AD91">
        <f t="shared" si="10"/>
        <v>7.5</v>
      </c>
      <c r="AF91" t="str">
        <f t="shared" si="11"/>
        <v>W45</v>
      </c>
      <c r="AG91" t="str">
        <f t="shared" si="12"/>
        <v/>
      </c>
      <c r="AH91">
        <f t="shared" si="13"/>
        <v>1.55</v>
      </c>
      <c r="AJ91" t="str">
        <f t="shared" si="14"/>
        <v>W45</v>
      </c>
      <c r="AK91" t="str">
        <f t="shared" si="19"/>
        <v/>
      </c>
      <c r="AL91">
        <f t="shared" si="15"/>
        <v>2.7</v>
      </c>
    </row>
    <row r="92" spans="16:38" x14ac:dyDescent="0.35">
      <c r="P92" t="str">
        <f t="shared" si="2"/>
        <v>W46</v>
      </c>
      <c r="Q92" t="str">
        <f t="shared" si="3"/>
        <v/>
      </c>
      <c r="R92">
        <f t="shared" si="4"/>
        <v>0.93</v>
      </c>
      <c r="T92" t="str">
        <f t="shared" si="5"/>
        <v>W46</v>
      </c>
      <c r="U92" t="str">
        <f t="shared" si="16"/>
        <v/>
      </c>
      <c r="V92">
        <f t="shared" si="6"/>
        <v>0.88</v>
      </c>
      <c r="X92" t="str">
        <f t="shared" si="7"/>
        <v>W46</v>
      </c>
      <c r="Y92" t="str">
        <f t="shared" si="17"/>
        <v/>
      </c>
      <c r="Z92">
        <f t="shared" si="8"/>
        <v>205</v>
      </c>
      <c r="AB92" t="str">
        <f t="shared" si="9"/>
        <v>W46</v>
      </c>
      <c r="AC92" t="str">
        <f t="shared" si="18"/>
        <v/>
      </c>
      <c r="AD92">
        <f t="shared" si="10"/>
        <v>7.5</v>
      </c>
      <c r="AF92" t="str">
        <f t="shared" si="11"/>
        <v>W46</v>
      </c>
      <c r="AG92" t="str">
        <f t="shared" si="12"/>
        <v/>
      </c>
      <c r="AH92">
        <f t="shared" si="13"/>
        <v>1.55</v>
      </c>
      <c r="AJ92" t="str">
        <f t="shared" si="14"/>
        <v>W46</v>
      </c>
      <c r="AK92" t="str">
        <f t="shared" si="19"/>
        <v/>
      </c>
      <c r="AL92">
        <f t="shared" si="15"/>
        <v>2.7</v>
      </c>
    </row>
    <row r="93" spans="16:38" x14ac:dyDescent="0.35">
      <c r="P93" t="str">
        <f t="shared" si="2"/>
        <v>W47</v>
      </c>
      <c r="Q93" t="str">
        <f t="shared" si="3"/>
        <v/>
      </c>
      <c r="R93">
        <f t="shared" si="4"/>
        <v>0.93</v>
      </c>
      <c r="T93" t="str">
        <f t="shared" si="5"/>
        <v>W47</v>
      </c>
      <c r="U93" t="str">
        <f t="shared" si="16"/>
        <v/>
      </c>
      <c r="V93">
        <f t="shared" si="6"/>
        <v>0.88</v>
      </c>
      <c r="X93" t="str">
        <f t="shared" si="7"/>
        <v>W47</v>
      </c>
      <c r="Y93" t="str">
        <f t="shared" si="17"/>
        <v/>
      </c>
      <c r="Z93">
        <f t="shared" si="8"/>
        <v>205</v>
      </c>
      <c r="AB93" t="str">
        <f t="shared" si="9"/>
        <v>W47</v>
      </c>
      <c r="AC93" t="str">
        <f t="shared" si="18"/>
        <v/>
      </c>
      <c r="AD93">
        <f t="shared" si="10"/>
        <v>7.5</v>
      </c>
      <c r="AF93" t="str">
        <f t="shared" si="11"/>
        <v>W47</v>
      </c>
      <c r="AG93" t="str">
        <f t="shared" si="12"/>
        <v/>
      </c>
      <c r="AH93">
        <f t="shared" si="13"/>
        <v>1.55</v>
      </c>
      <c r="AJ93" t="str">
        <f t="shared" si="14"/>
        <v>W47</v>
      </c>
      <c r="AK93" t="str">
        <f t="shared" si="19"/>
        <v/>
      </c>
      <c r="AL93">
        <f t="shared" si="15"/>
        <v>2.7</v>
      </c>
    </row>
    <row r="94" spans="16:38" x14ac:dyDescent="0.35">
      <c r="P94" t="str">
        <f t="shared" si="2"/>
        <v>W48</v>
      </c>
      <c r="Q94" t="str">
        <f t="shared" si="3"/>
        <v/>
      </c>
      <c r="R94">
        <f t="shared" si="4"/>
        <v>0.93</v>
      </c>
      <c r="T94" t="str">
        <f t="shared" si="5"/>
        <v>W48</v>
      </c>
      <c r="U94" t="str">
        <f t="shared" si="16"/>
        <v/>
      </c>
      <c r="V94">
        <f t="shared" si="6"/>
        <v>0.88</v>
      </c>
      <c r="X94" t="str">
        <f t="shared" si="7"/>
        <v>W48</v>
      </c>
      <c r="Y94" t="str">
        <f t="shared" si="17"/>
        <v/>
      </c>
      <c r="Z94">
        <f t="shared" si="8"/>
        <v>205</v>
      </c>
      <c r="AB94" t="str">
        <f t="shared" si="9"/>
        <v>W48</v>
      </c>
      <c r="AC94" t="str">
        <f t="shared" si="18"/>
        <v/>
      </c>
      <c r="AD94">
        <f t="shared" si="10"/>
        <v>7.5</v>
      </c>
      <c r="AF94" t="str">
        <f t="shared" si="11"/>
        <v>W48</v>
      </c>
      <c r="AG94" t="str">
        <f t="shared" si="12"/>
        <v/>
      </c>
      <c r="AH94">
        <f t="shared" si="13"/>
        <v>1.55</v>
      </c>
      <c r="AJ94" t="str">
        <f t="shared" si="14"/>
        <v>W48</v>
      </c>
      <c r="AK94" t="str">
        <f t="shared" si="19"/>
        <v/>
      </c>
      <c r="AL94">
        <f t="shared" si="15"/>
        <v>2.7</v>
      </c>
    </row>
    <row r="95" spans="16:38" x14ac:dyDescent="0.35">
      <c r="P95" t="str">
        <f t="shared" si="2"/>
        <v>W49</v>
      </c>
      <c r="Q95" t="str">
        <f t="shared" si="3"/>
        <v/>
      </c>
      <c r="R95">
        <f t="shared" si="4"/>
        <v>0.93</v>
      </c>
      <c r="T95" t="str">
        <f t="shared" si="5"/>
        <v>W49</v>
      </c>
      <c r="U95" t="str">
        <f t="shared" si="16"/>
        <v/>
      </c>
      <c r="V95">
        <f t="shared" si="6"/>
        <v>0.88</v>
      </c>
      <c r="X95" t="str">
        <f t="shared" si="7"/>
        <v>W49</v>
      </c>
      <c r="Y95" t="str">
        <f t="shared" si="17"/>
        <v/>
      </c>
      <c r="Z95">
        <f t="shared" si="8"/>
        <v>205</v>
      </c>
      <c r="AB95" t="str">
        <f t="shared" si="9"/>
        <v>W49</v>
      </c>
      <c r="AC95" t="str">
        <f t="shared" si="18"/>
        <v/>
      </c>
      <c r="AD95">
        <f t="shared" si="10"/>
        <v>7.5</v>
      </c>
      <c r="AF95" t="str">
        <f t="shared" si="11"/>
        <v>W49</v>
      </c>
      <c r="AG95" t="str">
        <f t="shared" si="12"/>
        <v/>
      </c>
      <c r="AH95">
        <f t="shared" si="13"/>
        <v>1.55</v>
      </c>
      <c r="AJ95" t="str">
        <f t="shared" si="14"/>
        <v>W49</v>
      </c>
      <c r="AK95" t="str">
        <f t="shared" si="19"/>
        <v/>
      </c>
      <c r="AL95">
        <f t="shared" si="15"/>
        <v>2.7</v>
      </c>
    </row>
    <row r="96" spans="16:38" x14ac:dyDescent="0.35">
      <c r="P96" t="str">
        <f t="shared" si="2"/>
        <v>W50</v>
      </c>
      <c r="Q96" t="str">
        <f t="shared" si="3"/>
        <v/>
      </c>
      <c r="R96">
        <f t="shared" si="4"/>
        <v>0.93</v>
      </c>
      <c r="T96" t="str">
        <f t="shared" si="5"/>
        <v>W50</v>
      </c>
      <c r="U96" t="str">
        <f t="shared" si="16"/>
        <v/>
      </c>
      <c r="V96">
        <f t="shared" si="6"/>
        <v>0.88</v>
      </c>
      <c r="X96" t="str">
        <f t="shared" si="7"/>
        <v>W50</v>
      </c>
      <c r="Y96" t="str">
        <f t="shared" si="17"/>
        <v/>
      </c>
      <c r="Z96">
        <f t="shared" si="8"/>
        <v>205</v>
      </c>
      <c r="AB96" t="str">
        <f t="shared" si="9"/>
        <v>W50</v>
      </c>
      <c r="AC96" t="str">
        <f t="shared" si="18"/>
        <v/>
      </c>
      <c r="AD96">
        <f t="shared" si="10"/>
        <v>7.5</v>
      </c>
      <c r="AF96" t="str">
        <f t="shared" si="11"/>
        <v>W50</v>
      </c>
      <c r="AG96" t="str">
        <f t="shared" si="12"/>
        <v/>
      </c>
      <c r="AH96">
        <f t="shared" si="13"/>
        <v>1.55</v>
      </c>
      <c r="AJ96" t="str">
        <f t="shared" si="14"/>
        <v>W50</v>
      </c>
      <c r="AK96" t="str">
        <f t="shared" si="19"/>
        <v/>
      </c>
      <c r="AL96">
        <f t="shared" si="15"/>
        <v>2.7</v>
      </c>
    </row>
    <row r="97" spans="16:38" x14ac:dyDescent="0.35">
      <c r="P97" t="str">
        <f t="shared" si="2"/>
        <v>W51</v>
      </c>
      <c r="Q97" t="str">
        <f t="shared" si="3"/>
        <v/>
      </c>
      <c r="R97">
        <f t="shared" si="4"/>
        <v>0.93</v>
      </c>
      <c r="T97" t="str">
        <f t="shared" si="5"/>
        <v>W51</v>
      </c>
      <c r="U97" t="str">
        <f t="shared" si="16"/>
        <v/>
      </c>
      <c r="V97">
        <f t="shared" si="6"/>
        <v>0.88</v>
      </c>
      <c r="X97" t="str">
        <f t="shared" si="7"/>
        <v>W51</v>
      </c>
      <c r="Y97" t="str">
        <f t="shared" si="17"/>
        <v/>
      </c>
      <c r="Z97">
        <f t="shared" si="8"/>
        <v>205</v>
      </c>
      <c r="AB97" t="str">
        <f t="shared" si="9"/>
        <v>W51</v>
      </c>
      <c r="AC97" t="str">
        <f t="shared" si="18"/>
        <v/>
      </c>
      <c r="AD97">
        <f t="shared" si="10"/>
        <v>7.5</v>
      </c>
      <c r="AF97" t="str">
        <f t="shared" si="11"/>
        <v>W51</v>
      </c>
      <c r="AG97" t="str">
        <f t="shared" si="12"/>
        <v/>
      </c>
      <c r="AH97">
        <f t="shared" si="13"/>
        <v>1.55</v>
      </c>
      <c r="AJ97" t="str">
        <f t="shared" si="14"/>
        <v>W51</v>
      </c>
      <c r="AK97" t="str">
        <f t="shared" si="19"/>
        <v/>
      </c>
      <c r="AL97">
        <f t="shared" si="15"/>
        <v>2.7</v>
      </c>
    </row>
    <row r="98" spans="16:38" x14ac:dyDescent="0.35">
      <c r="P98" t="str">
        <f t="shared" si="2"/>
        <v>W52</v>
      </c>
      <c r="Q98" t="str">
        <f t="shared" si="3"/>
        <v/>
      </c>
      <c r="R98">
        <f t="shared" si="4"/>
        <v>0.93</v>
      </c>
      <c r="T98" t="str">
        <f t="shared" si="5"/>
        <v>W52</v>
      </c>
      <c r="U98" t="str">
        <f t="shared" si="16"/>
        <v/>
      </c>
      <c r="V98">
        <f t="shared" si="6"/>
        <v>0.88</v>
      </c>
      <c r="X98" t="str">
        <f t="shared" si="7"/>
        <v>W52</v>
      </c>
      <c r="Y98" t="str">
        <f t="shared" si="17"/>
        <v/>
      </c>
      <c r="Z98">
        <f t="shared" si="8"/>
        <v>205</v>
      </c>
      <c r="AB98" t="str">
        <f t="shared" si="9"/>
        <v>W52</v>
      </c>
      <c r="AC98" t="str">
        <f t="shared" si="18"/>
        <v/>
      </c>
      <c r="AD98">
        <f t="shared" si="10"/>
        <v>7.5</v>
      </c>
      <c r="AF98" t="str">
        <f t="shared" si="11"/>
        <v>W52</v>
      </c>
      <c r="AG98" t="str">
        <f t="shared" si="12"/>
        <v/>
      </c>
      <c r="AH98">
        <f t="shared" si="13"/>
        <v>1.55</v>
      </c>
      <c r="AJ98" t="str">
        <f t="shared" si="14"/>
        <v>W52</v>
      </c>
      <c r="AK98" t="str">
        <f t="shared" si="19"/>
        <v/>
      </c>
      <c r="AL98">
        <f t="shared" si="15"/>
        <v>2.7</v>
      </c>
    </row>
    <row r="99" spans="16:38" x14ac:dyDescent="0.35">
      <c r="P99" t="str">
        <f t="shared" si="2"/>
        <v>W53</v>
      </c>
      <c r="Q99" t="str">
        <f t="shared" si="3"/>
        <v/>
      </c>
      <c r="R99">
        <f t="shared" si="4"/>
        <v>0.93</v>
      </c>
      <c r="T99" t="str">
        <f t="shared" si="5"/>
        <v>W53</v>
      </c>
      <c r="U99" t="str">
        <f t="shared" si="16"/>
        <v/>
      </c>
      <c r="V99">
        <f t="shared" si="6"/>
        <v>0.88</v>
      </c>
      <c r="X99" t="str">
        <f t="shared" si="7"/>
        <v>W53</v>
      </c>
      <c r="Y99" t="str">
        <f t="shared" si="17"/>
        <v/>
      </c>
      <c r="Z99">
        <f t="shared" si="8"/>
        <v>205</v>
      </c>
      <c r="AB99" t="str">
        <f t="shared" si="9"/>
        <v>W53</v>
      </c>
      <c r="AC99" t="str">
        <f t="shared" si="18"/>
        <v/>
      </c>
      <c r="AD99">
        <f t="shared" si="10"/>
        <v>7.5</v>
      </c>
      <c r="AF99" t="str">
        <f t="shared" si="11"/>
        <v>W53</v>
      </c>
      <c r="AG99" t="str">
        <f t="shared" si="12"/>
        <v/>
      </c>
      <c r="AH99">
        <f t="shared" si="13"/>
        <v>1.55</v>
      </c>
      <c r="AJ99" t="str">
        <f t="shared" si="14"/>
        <v>W53</v>
      </c>
      <c r="AK99" t="str">
        <f t="shared" si="19"/>
        <v/>
      </c>
      <c r="AL99">
        <f t="shared" si="15"/>
        <v>2.7</v>
      </c>
    </row>
  </sheetData>
  <mergeCells count="3">
    <mergeCell ref="A1:H1"/>
    <mergeCell ref="A2:H2"/>
    <mergeCell ref="A13:N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4C68"/>
  </sheetPr>
  <dimension ref="A1:C26"/>
  <sheetViews>
    <sheetView showGridLines="0" workbookViewId="0">
      <pane ySplit="5" topLeftCell="A6" activePane="bottomLeft" state="frozen"/>
      <selection pane="bottomLeft" activeCell="F21" sqref="F21"/>
    </sheetView>
  </sheetViews>
  <sheetFormatPr defaultRowHeight="14.5" x14ac:dyDescent="0.35"/>
  <cols>
    <col min="1" max="1" width="28" customWidth="1"/>
    <col min="2" max="2" width="20" customWidth="1"/>
    <col min="3" max="3" width="65" customWidth="1"/>
  </cols>
  <sheetData>
    <row r="1" spans="1:3" ht="28" customHeight="1" x14ac:dyDescent="0.35">
      <c r="A1" s="103" t="s">
        <v>63</v>
      </c>
      <c r="B1" s="103"/>
      <c r="C1" s="103"/>
    </row>
    <row r="2" spans="1:3" x14ac:dyDescent="0.35">
      <c r="A2" s="100" t="s">
        <v>64</v>
      </c>
      <c r="B2" s="100"/>
      <c r="C2" s="100"/>
    </row>
    <row r="3" spans="1:3" x14ac:dyDescent="0.35">
      <c r="A3" s="28"/>
      <c r="B3" s="28"/>
      <c r="C3" s="28"/>
    </row>
    <row r="5" spans="1:3" x14ac:dyDescent="0.35">
      <c r="A5" s="78" t="s">
        <v>65</v>
      </c>
      <c r="B5" s="78" t="s">
        <v>3</v>
      </c>
      <c r="C5" s="78" t="s">
        <v>66</v>
      </c>
    </row>
    <row r="6" spans="1:3" x14ac:dyDescent="0.35">
      <c r="A6" s="79" t="s">
        <v>67</v>
      </c>
      <c r="B6" s="81">
        <v>24</v>
      </c>
      <c r="C6" s="80" t="s">
        <v>68</v>
      </c>
    </row>
    <row r="7" spans="1:3" x14ac:dyDescent="0.35">
      <c r="A7" s="79" t="s">
        <v>69</v>
      </c>
      <c r="B7" s="81">
        <v>2.3333333333333335</v>
      </c>
      <c r="C7" s="80" t="s">
        <v>70</v>
      </c>
    </row>
    <row r="8" spans="1:3" x14ac:dyDescent="0.35">
      <c r="A8" s="79" t="s">
        <v>4</v>
      </c>
      <c r="B8" s="82">
        <v>1</v>
      </c>
      <c r="C8" s="80" t="s">
        <v>71</v>
      </c>
    </row>
    <row r="9" spans="1:3" x14ac:dyDescent="0.35">
      <c r="A9" s="79" t="s">
        <v>72</v>
      </c>
      <c r="B9" s="83">
        <v>3</v>
      </c>
      <c r="C9" s="80" t="s">
        <v>73</v>
      </c>
    </row>
    <row r="10" spans="1:3" x14ac:dyDescent="0.35">
      <c r="A10" s="79" t="s">
        <v>74</v>
      </c>
      <c r="B10" s="83">
        <v>3.03</v>
      </c>
      <c r="C10" s="80" t="s">
        <v>73</v>
      </c>
    </row>
    <row r="13" spans="1:3" x14ac:dyDescent="0.35">
      <c r="A13" s="84" t="s">
        <v>75</v>
      </c>
      <c r="B13" s="84" t="s">
        <v>3</v>
      </c>
      <c r="C13" s="84" t="s">
        <v>76</v>
      </c>
    </row>
    <row r="14" spans="1:3" x14ac:dyDescent="0.35">
      <c r="A14" s="79" t="s">
        <v>77</v>
      </c>
      <c r="B14" s="85">
        <f>(B6-B7)/B6</f>
        <v>0.90277777777777779</v>
      </c>
      <c r="C14" s="87" t="s">
        <v>78</v>
      </c>
    </row>
    <row r="15" spans="1:3" x14ac:dyDescent="0.35">
      <c r="A15" s="79" t="s">
        <v>79</v>
      </c>
      <c r="B15" s="85">
        <f>B10/B9</f>
        <v>1.01</v>
      </c>
      <c r="C15" s="87" t="s">
        <v>80</v>
      </c>
    </row>
    <row r="16" spans="1:3" x14ac:dyDescent="0.35">
      <c r="A16" s="79" t="s">
        <v>81</v>
      </c>
      <c r="B16" s="86">
        <f>(B6-B7)*B15</f>
        <v>21.883333333333336</v>
      </c>
      <c r="C16" s="87" t="s">
        <v>82</v>
      </c>
    </row>
    <row r="17" spans="1:3" x14ac:dyDescent="0.35">
      <c r="A17" s="79" t="s">
        <v>83</v>
      </c>
      <c r="B17" s="86">
        <f>(B6-B7)-B16</f>
        <v>-0.21666666666666856</v>
      </c>
      <c r="C17" s="87" t="s">
        <v>84</v>
      </c>
    </row>
    <row r="18" spans="1:3" x14ac:dyDescent="0.35">
      <c r="A18" s="79" t="s">
        <v>85</v>
      </c>
      <c r="B18" s="85">
        <f>MIN(1,B8*B14*B15)</f>
        <v>0.91180555555555554</v>
      </c>
      <c r="C18" s="87" t="s">
        <v>86</v>
      </c>
    </row>
    <row r="19" spans="1:3" x14ac:dyDescent="0.35">
      <c r="A19" s="79" t="s">
        <v>87</v>
      </c>
      <c r="B19" s="85">
        <f>B14-B18</f>
        <v>-9.0277777777777457E-3</v>
      </c>
      <c r="C19" s="87" t="s">
        <v>88</v>
      </c>
    </row>
    <row r="22" spans="1:3" ht="22" customHeight="1" x14ac:dyDescent="0.35">
      <c r="A22" s="104" t="s">
        <v>89</v>
      </c>
      <c r="B22" s="104"/>
      <c r="C22" s="104"/>
    </row>
    <row r="24" spans="1:3" x14ac:dyDescent="0.35">
      <c r="A24" s="105" t="s">
        <v>90</v>
      </c>
      <c r="B24" s="106"/>
      <c r="C24" s="106"/>
    </row>
    <row r="25" spans="1:3" ht="30" customHeight="1" x14ac:dyDescent="0.35">
      <c r="A25" s="79" t="s">
        <v>91</v>
      </c>
      <c r="B25" s="102" t="s">
        <v>92</v>
      </c>
      <c r="C25" s="102"/>
    </row>
    <row r="26" spans="1:3" ht="30" customHeight="1" x14ac:dyDescent="0.35">
      <c r="A26" s="79" t="s">
        <v>93</v>
      </c>
      <c r="B26" s="102" t="s">
        <v>94</v>
      </c>
      <c r="C26" s="102"/>
    </row>
  </sheetData>
  <mergeCells count="6">
    <mergeCell ref="B26:C26"/>
    <mergeCell ref="A1:C1"/>
    <mergeCell ref="A2:C2"/>
    <mergeCell ref="A22:C22"/>
    <mergeCell ref="A24:C24"/>
    <mergeCell ref="B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Data Daily</vt:lpstr>
      <vt:lpstr>Grafik KPI 2026</vt:lpstr>
      <vt:lpstr>Indikator KPI W30-W53</vt:lpstr>
      <vt:lpstr>Kalkulator 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DEPUTY PJO</dc:creator>
  <cp:lastModifiedBy>muhammad izzulhaq</cp:lastModifiedBy>
  <dcterms:created xsi:type="dcterms:W3CDTF">2026-10-10T05:40:42Z</dcterms:created>
  <dcterms:modified xsi:type="dcterms:W3CDTF">2026-10-14T07:41:37Z</dcterms:modified>
</cp:coreProperties>
</file>